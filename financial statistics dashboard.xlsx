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HP\Desktop\EXCEL\"/>
    </mc:Choice>
  </mc:AlternateContent>
  <bookViews>
    <workbookView xWindow="1905" yWindow="900" windowWidth="15375" windowHeight="10020" activeTab="2"/>
  </bookViews>
  <sheets>
    <sheet name="Synthetic Data" sheetId="1" r:id="rId1"/>
    <sheet name="pivots" sheetId="6" r:id="rId2"/>
    <sheet name="Income sources" sheetId="2" r:id="rId3"/>
  </sheets>
  <definedNames>
    <definedName name="_xlcn.WorksheetConnection_Synthetic_Income_Dataversion2.xlsbTable21" hidden="1">Table2[]</definedName>
    <definedName name="Slicer_Income_sources">#N/A</definedName>
    <definedName name="Slicer_Year">#N/A</definedName>
  </definedNames>
  <calcPr calcId="152511"/>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pivotCache cacheId="8"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Synthetic_Income_Data (version 2).xlsb!Table2"/>
        </x15:modelTables>
        <x15:extLst>
          <ext xmlns:x16="http://schemas.microsoft.com/office/spreadsheetml/2014/11/main" uri="{9835A34E-60A6-4A7C-AAB8-D5F71C897F49}">
            <x16:modelTimeGroupings>
              <x16:modelTimeGrouping tableName="Table2"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39" i="6" l="1"/>
  <c r="L139" i="6"/>
  <c r="M138" i="6"/>
  <c r="L138" i="6"/>
  <c r="M137" i="6"/>
  <c r="L137" i="6"/>
  <c r="M136" i="6"/>
  <c r="L136" i="6"/>
  <c r="M135" i="6"/>
  <c r="L135" i="6"/>
  <c r="J851" i="1"/>
  <c r="J637" i="1"/>
  <c r="J643" i="1"/>
  <c r="J26" i="1"/>
  <c r="J257" i="1"/>
  <c r="J173" i="1"/>
  <c r="J404" i="1"/>
  <c r="J354" i="1"/>
  <c r="J863" i="1"/>
  <c r="J555" i="1"/>
  <c r="J492" i="1"/>
  <c r="J108" i="1"/>
  <c r="J888" i="1"/>
  <c r="J270" i="1"/>
  <c r="J495" i="1"/>
  <c r="J211" i="1"/>
  <c r="J743" i="1"/>
  <c r="J493" i="1"/>
  <c r="J618" i="1"/>
  <c r="J321" i="1"/>
  <c r="J571" i="1"/>
  <c r="J545" i="1"/>
  <c r="J848" i="1"/>
  <c r="J38" i="1"/>
  <c r="J623" i="1"/>
  <c r="J414" i="1"/>
  <c r="J595" i="1"/>
  <c r="J744" i="1"/>
  <c r="J885" i="1"/>
  <c r="J357" i="1"/>
  <c r="J647" i="1"/>
  <c r="J639" i="1"/>
  <c r="J94" i="1"/>
  <c r="J204" i="1"/>
  <c r="J659" i="1"/>
  <c r="J868" i="1"/>
  <c r="J385" i="1"/>
  <c r="J307" i="1"/>
  <c r="J24" i="1"/>
  <c r="J294" i="1"/>
  <c r="J302" i="1"/>
  <c r="J120" i="1"/>
  <c r="J317" i="1"/>
  <c r="J483" i="1"/>
  <c r="J741" i="1"/>
  <c r="J687" i="1"/>
  <c r="J249" i="1"/>
  <c r="J610" i="1"/>
  <c r="J614" i="1"/>
  <c r="J494" i="1"/>
  <c r="J278" i="1"/>
  <c r="J684" i="1"/>
  <c r="J130" i="1"/>
  <c r="J402" i="1"/>
  <c r="J807" i="1"/>
  <c r="J363" i="1"/>
  <c r="J778" i="1"/>
  <c r="J150" i="1"/>
  <c r="J417" i="1"/>
  <c r="J515" i="1"/>
  <c r="J57" i="1"/>
  <c r="J462" i="1"/>
  <c r="J221" i="1"/>
  <c r="J330" i="1"/>
  <c r="J449" i="1"/>
  <c r="J336" i="1"/>
  <c r="J281" i="1"/>
  <c r="J666" i="1"/>
  <c r="J331" i="1"/>
  <c r="J225" i="1"/>
  <c r="J46" i="1"/>
  <c r="J311" i="1"/>
  <c r="J100" i="1"/>
  <c r="J265" i="1"/>
  <c r="J111" i="1"/>
  <c r="J437" i="1"/>
  <c r="J668" i="1"/>
  <c r="J30" i="1"/>
  <c r="J503" i="1"/>
  <c r="J715" i="1"/>
  <c r="J236" i="1"/>
  <c r="J192" i="1"/>
  <c r="J369" i="1"/>
  <c r="J519" i="1"/>
  <c r="J771" i="1"/>
  <c r="J685" i="1"/>
  <c r="J435" i="1"/>
  <c r="J329" i="1"/>
  <c r="J275" i="1"/>
  <c r="J84" i="1"/>
  <c r="J652" i="1"/>
  <c r="J783" i="1"/>
  <c r="J219" i="1"/>
  <c r="J190" i="1"/>
  <c r="J742" i="1"/>
  <c r="J154" i="1"/>
  <c r="J565" i="1"/>
  <c r="J439" i="1"/>
  <c r="J788" i="1"/>
  <c r="J625" i="1"/>
  <c r="J15" i="1"/>
  <c r="J102" i="1"/>
  <c r="J386" i="1"/>
  <c r="J96" i="1"/>
  <c r="J768" i="1"/>
  <c r="J658" i="1"/>
  <c r="J50" i="1"/>
  <c r="J339" i="1"/>
  <c r="J561" i="1"/>
  <c r="J34" i="1"/>
  <c r="J141" i="1"/>
  <c r="J703" i="1"/>
  <c r="J774" i="1"/>
  <c r="J870" i="1"/>
  <c r="J391" i="1"/>
  <c r="J48" i="1"/>
  <c r="J605" i="1"/>
  <c r="J368" i="1"/>
  <c r="J859" i="1"/>
  <c r="J235" i="1"/>
  <c r="J327" i="1"/>
  <c r="J260" i="1"/>
  <c r="J233" i="1"/>
  <c r="J383" i="1"/>
  <c r="J338" i="1"/>
  <c r="J593" i="1"/>
  <c r="J432" i="1"/>
  <c r="J530" i="1"/>
  <c r="J895" i="1"/>
  <c r="J52" i="1"/>
  <c r="J334" i="1"/>
  <c r="J222" i="1"/>
  <c r="J226" i="1"/>
  <c r="J411" i="1"/>
  <c r="J55" i="1"/>
  <c r="J128" i="1"/>
  <c r="J626" i="1"/>
  <c r="J710" i="1"/>
  <c r="J600" i="1"/>
  <c r="J88" i="1"/>
  <c r="J165" i="1"/>
  <c r="J599" i="1"/>
  <c r="J379" i="1"/>
  <c r="J734" i="1"/>
  <c r="J399" i="1"/>
  <c r="J299" i="1"/>
  <c r="J228" i="1"/>
  <c r="J865" i="1"/>
  <c r="J371" i="1"/>
  <c r="J680" i="1"/>
  <c r="J285" i="1"/>
  <c r="J178" i="1"/>
  <c r="J109" i="1"/>
  <c r="J384" i="1"/>
  <c r="J635" i="1"/>
  <c r="J312" i="1"/>
  <c r="J691" i="1"/>
  <c r="J436" i="1"/>
  <c r="J149" i="1"/>
  <c r="J288" i="1"/>
  <c r="J92" i="1"/>
  <c r="J487" i="1"/>
  <c r="J775" i="1"/>
  <c r="J73" i="1"/>
  <c r="J68" i="1"/>
  <c r="J488" i="1"/>
  <c r="J146" i="1"/>
  <c r="J20" i="1"/>
  <c r="J441" i="1"/>
  <c r="J537" i="1"/>
  <c r="J274" i="1"/>
  <c r="J789" i="1"/>
  <c r="J627" i="1"/>
  <c r="J735" i="1"/>
  <c r="J837" i="1"/>
  <c r="J876" i="1"/>
  <c r="J898" i="1"/>
  <c r="J563" i="1"/>
  <c r="J597" i="1"/>
  <c r="J382" i="1"/>
  <c r="J390" i="1"/>
  <c r="J323" i="1"/>
  <c r="J291" i="1"/>
  <c r="J830" i="1"/>
  <c r="J773" i="1"/>
  <c r="J657" i="1"/>
  <c r="J136" i="1"/>
  <c r="J550" i="1"/>
  <c r="J731" i="1"/>
  <c r="J272" i="1"/>
  <c r="J9" i="1"/>
  <c r="J879" i="1"/>
  <c r="J460" i="1"/>
  <c r="J89" i="1"/>
  <c r="J583" i="1"/>
  <c r="J351" i="1"/>
  <c r="J862" i="1"/>
  <c r="J752" i="1"/>
  <c r="J800" i="1"/>
  <c r="J536" i="1"/>
  <c r="J506" i="1"/>
  <c r="J286" i="1"/>
  <c r="J262" i="1"/>
  <c r="J252" i="1"/>
  <c r="J702" i="1"/>
  <c r="J332" i="1"/>
  <c r="J418" i="1"/>
  <c r="J458" i="1"/>
  <c r="J264" i="1"/>
  <c r="J817" i="1"/>
  <c r="J891" i="1"/>
  <c r="J301" i="1"/>
  <c r="J392" i="1"/>
  <c r="J574" i="1"/>
  <c r="J521" i="1"/>
  <c r="J4" i="1"/>
  <c r="J21" i="1"/>
  <c r="J531" i="1"/>
  <c r="J72" i="1"/>
  <c r="J375" i="1"/>
  <c r="J567" i="1"/>
  <c r="J444" i="1"/>
  <c r="J217" i="1"/>
  <c r="J359" i="1"/>
  <c r="J318" i="1"/>
  <c r="J720" i="1"/>
  <c r="J695" i="1"/>
  <c r="J292" i="1"/>
  <c r="J608" i="1"/>
  <c r="J124" i="1"/>
  <c r="J584" i="1"/>
  <c r="J779" i="1"/>
  <c r="J42" i="1"/>
  <c r="J353" i="1"/>
  <c r="J638" i="1"/>
  <c r="J861" i="1"/>
  <c r="J19" i="1"/>
  <c r="J416" i="1"/>
  <c r="J682" i="1"/>
  <c r="J585" i="1"/>
  <c r="J568" i="1"/>
  <c r="J739" i="1"/>
  <c r="J501" i="1"/>
  <c r="J284" i="1"/>
  <c r="J633" i="1"/>
  <c r="J214" i="1"/>
  <c r="J662" i="1"/>
  <c r="J207" i="1"/>
  <c r="J556" i="1"/>
  <c r="J578" i="1"/>
  <c r="J87" i="1"/>
  <c r="J341" i="1"/>
  <c r="J164" i="1"/>
  <c r="J753" i="1"/>
  <c r="J660" i="1"/>
  <c r="J523" i="1"/>
  <c r="J544" i="1"/>
  <c r="J673" i="1"/>
  <c r="J396" i="1"/>
  <c r="J697" i="1"/>
  <c r="J759" i="1"/>
  <c r="J242" i="1"/>
  <c r="J289" i="1"/>
  <c r="J853" i="1"/>
  <c r="J887" i="1"/>
  <c r="J125" i="1"/>
  <c r="J797" i="1"/>
  <c r="J831" i="1"/>
  <c r="J705" i="1"/>
  <c r="J524" i="1"/>
  <c r="J145" i="1"/>
  <c r="J737" i="1"/>
  <c r="J615" i="1"/>
  <c r="J490" i="1"/>
  <c r="J376" i="1"/>
  <c r="J606" i="1"/>
  <c r="J23" i="1"/>
  <c r="J535" i="1"/>
  <c r="J193" i="1"/>
  <c r="J348" i="1"/>
  <c r="J466" i="1"/>
  <c r="J12" i="1"/>
  <c r="J628" i="1"/>
  <c r="J59" i="1"/>
  <c r="J760" i="1"/>
  <c r="J727" i="1"/>
  <c r="J476" i="1"/>
  <c r="J388" i="1"/>
  <c r="J479" i="1"/>
  <c r="J784" i="1"/>
  <c r="J850" i="1"/>
  <c r="J147" i="1"/>
  <c r="J3" i="1"/>
  <c r="J205" i="1"/>
  <c r="J231" i="1"/>
  <c r="J724" i="1"/>
  <c r="J854" i="1"/>
  <c r="J40" i="1"/>
  <c r="J234" i="1"/>
  <c r="J808" i="1"/>
  <c r="J230" i="1"/>
  <c r="J540" i="1"/>
  <c r="J732" i="1"/>
  <c r="J415" i="1"/>
  <c r="J445" i="1"/>
  <c r="J653" i="1"/>
  <c r="J636" i="1"/>
  <c r="J464" i="1"/>
  <c r="J166" i="1"/>
  <c r="J199" i="1"/>
  <c r="J855" i="1"/>
  <c r="J420" i="1"/>
  <c r="J355" i="1"/>
  <c r="J667" i="1"/>
  <c r="J875" i="1"/>
  <c r="J358" i="1"/>
  <c r="J579" i="1"/>
  <c r="J886" i="1"/>
  <c r="J360" i="1"/>
  <c r="J99" i="1"/>
  <c r="J711" i="1"/>
  <c r="J142" i="1"/>
  <c r="J728" i="1"/>
  <c r="J698" i="1"/>
  <c r="J553" i="1"/>
  <c r="J243" i="1"/>
  <c r="J378" i="1"/>
  <c r="J62" i="1"/>
  <c r="J405" i="1"/>
  <c r="J620" i="1"/>
  <c r="J61" i="1"/>
  <c r="J33" i="1"/>
  <c r="J801" i="1"/>
  <c r="J642" i="1"/>
  <c r="J387" i="1"/>
  <c r="J74" i="1"/>
  <c r="J347" i="1"/>
  <c r="J10" i="1"/>
  <c r="J195" i="1"/>
  <c r="J522" i="1"/>
  <c r="J790" i="1"/>
  <c r="J674" i="1"/>
  <c r="J474" i="1"/>
  <c r="J866" i="1"/>
  <c r="J314" i="1"/>
  <c r="J897" i="1"/>
  <c r="J554" i="1"/>
  <c r="J511" i="1"/>
  <c r="J468" i="1"/>
  <c r="J477" i="1"/>
  <c r="J729" i="1"/>
  <c r="J279" i="1"/>
  <c r="J880" i="1"/>
  <c r="J194" i="1"/>
  <c r="J475" i="1"/>
  <c r="J202" i="1"/>
  <c r="J174" i="1"/>
  <c r="J601" i="1"/>
  <c r="J516" i="1"/>
  <c r="J410" i="1"/>
  <c r="J480" i="1"/>
  <c r="J248" i="1"/>
  <c r="J344" i="1"/>
  <c r="J818" i="1"/>
  <c r="J188" i="1"/>
  <c r="J200" i="1"/>
  <c r="J116" i="1"/>
  <c r="J157" i="1"/>
  <c r="J750" i="1"/>
  <c r="J143" i="1"/>
  <c r="J218" i="1"/>
  <c r="J805" i="1"/>
  <c r="J470" i="1"/>
  <c r="J815" i="1"/>
  <c r="J547" i="1"/>
  <c r="J250" i="1"/>
  <c r="J37" i="1"/>
  <c r="J253" i="1"/>
  <c r="J791" i="1"/>
  <c r="J457" i="1"/>
  <c r="J447" i="1"/>
  <c r="J823" i="1"/>
  <c r="J686" i="1"/>
  <c r="J473" i="1"/>
  <c r="J679" i="1"/>
  <c r="J215" i="1"/>
  <c r="J478" i="1"/>
  <c r="J598" i="1"/>
  <c r="J590" i="1"/>
  <c r="J689" i="1"/>
  <c r="J559" i="1"/>
  <c r="J527" i="1"/>
  <c r="J419" i="1"/>
  <c r="J282" i="1"/>
  <c r="J206" i="1"/>
  <c r="J539" i="1"/>
  <c r="J654" i="1"/>
  <c r="J126" i="1"/>
  <c r="J725" i="1"/>
  <c r="J471" i="1"/>
  <c r="J867" i="1"/>
  <c r="J290" i="1"/>
  <c r="J834" i="1"/>
  <c r="J661" i="1"/>
  <c r="J429" i="1"/>
  <c r="J461" i="1"/>
  <c r="J736" i="1"/>
  <c r="J675" i="1"/>
  <c r="J296" i="1"/>
  <c r="J39" i="1"/>
  <c r="J140" i="1"/>
  <c r="J699" i="1"/>
  <c r="J463" i="1"/>
  <c r="J794" i="1"/>
  <c r="J305" i="1"/>
  <c r="J93" i="1"/>
  <c r="J706" i="1"/>
  <c r="J489" i="1"/>
  <c r="J838" i="1"/>
  <c r="J78" i="1"/>
  <c r="J179" i="1"/>
  <c r="J803" i="1"/>
  <c r="J748" i="1"/>
  <c r="J707" i="1"/>
  <c r="J422" i="1"/>
  <c r="J497" i="1"/>
  <c r="J713" i="1"/>
  <c r="J122" i="1"/>
  <c r="J640" i="1"/>
  <c r="J649" i="1"/>
  <c r="J53" i="1"/>
  <c r="J163" i="1"/>
  <c r="J451" i="1"/>
  <c r="J860" i="1"/>
  <c r="J846" i="1"/>
  <c r="J889" i="1"/>
  <c r="J878" i="1"/>
  <c r="J13" i="1"/>
  <c r="J858" i="1"/>
  <c r="J827" i="1"/>
  <c r="J630" i="1"/>
  <c r="J681" i="1"/>
  <c r="J349" i="1"/>
  <c r="J719" i="1"/>
  <c r="J132" i="1"/>
  <c r="J398" i="1"/>
  <c r="J602" i="1"/>
  <c r="J134" i="1"/>
  <c r="J518" i="1"/>
  <c r="J534" i="1"/>
  <c r="J619" i="1"/>
  <c r="J588" i="1"/>
  <c r="J671" i="1"/>
  <c r="J806" i="1"/>
  <c r="J372" i="1"/>
  <c r="J526" i="1"/>
  <c r="J300" i="1"/>
  <c r="J346" i="1"/>
  <c r="J361" i="1"/>
  <c r="J213" i="1"/>
  <c r="J66" i="1"/>
  <c r="J835" i="1"/>
  <c r="J692" i="1"/>
  <c r="J764" i="1"/>
  <c r="J335" i="1"/>
  <c r="J899" i="1"/>
  <c r="J683" i="1"/>
  <c r="J428" i="1"/>
  <c r="J90" i="1"/>
  <c r="J849" i="1"/>
  <c r="J513" i="1"/>
  <c r="J621" i="1"/>
  <c r="J283" i="1"/>
  <c r="J669" i="1"/>
  <c r="J151" i="1"/>
  <c r="J820" i="1"/>
  <c r="J325" i="1"/>
  <c r="J873" i="1"/>
  <c r="J714" i="1"/>
  <c r="J22" i="1"/>
  <c r="J316" i="1"/>
  <c r="J500" i="1"/>
  <c r="J71" i="1"/>
  <c r="J244" i="1"/>
  <c r="J693" i="1"/>
  <c r="J76" i="1"/>
  <c r="J309" i="1"/>
  <c r="J408" i="1"/>
  <c r="J224" i="1"/>
  <c r="J611" i="1"/>
  <c r="J297" i="1"/>
  <c r="J365" i="1"/>
  <c r="J424" i="1"/>
  <c r="J65" i="1"/>
  <c r="J828" i="1"/>
  <c r="J36" i="1"/>
  <c r="J696" i="1"/>
  <c r="J247" i="1"/>
  <c r="J730" i="1"/>
  <c r="J874" i="1"/>
  <c r="J196" i="1"/>
  <c r="J780" i="1"/>
  <c r="J486" i="1"/>
  <c r="J370" i="1"/>
  <c r="J210" i="1"/>
  <c r="J393" i="1"/>
  <c r="J832" i="1"/>
  <c r="J167" i="1"/>
  <c r="J508" i="1"/>
  <c r="J266" i="1"/>
  <c r="J648" i="1"/>
  <c r="J107" i="1"/>
  <c r="J397" i="1"/>
  <c r="J153" i="1"/>
  <c r="J232" i="1"/>
  <c r="J641" i="1"/>
  <c r="J162" i="1"/>
  <c r="J446" i="1"/>
  <c r="J472" i="1"/>
  <c r="J514" i="1"/>
  <c r="J209" i="1"/>
  <c r="J877" i="1"/>
  <c r="J576" i="1"/>
  <c r="J844" i="1"/>
  <c r="J758" i="1"/>
  <c r="J269" i="1"/>
  <c r="J273" i="1"/>
  <c r="J645" i="1"/>
  <c r="J821" i="1"/>
  <c r="J320" i="1"/>
  <c r="J105" i="1"/>
  <c r="J900" i="1"/>
  <c r="J423" i="1"/>
  <c r="J54" i="1"/>
  <c r="J7" i="1"/>
  <c r="J183" i="1"/>
  <c r="J504" i="1"/>
  <c r="J538" i="1"/>
  <c r="J452" i="1"/>
  <c r="J403" i="1"/>
  <c r="J587" i="1"/>
  <c r="J812" i="1"/>
  <c r="J716" i="1"/>
  <c r="J240" i="1"/>
  <c r="J569" i="1"/>
  <c r="J829" i="1"/>
  <c r="J787" i="1"/>
  <c r="J580" i="1"/>
  <c r="J581" i="1"/>
  <c r="J380" i="1"/>
  <c r="J280" i="1"/>
  <c r="J604" i="1"/>
  <c r="J520" i="1"/>
  <c r="J119" i="1"/>
  <c r="J425" i="1"/>
  <c r="J564" i="1"/>
  <c r="J442" i="1"/>
  <c r="J793" i="1"/>
  <c r="J324" i="1"/>
  <c r="J708" i="1"/>
  <c r="J746" i="1"/>
  <c r="J43" i="1"/>
  <c r="J75" i="1"/>
  <c r="J677" i="1"/>
  <c r="J901" i="1"/>
  <c r="J322" i="1"/>
  <c r="J529" i="1"/>
  <c r="J624" i="1"/>
  <c r="J751" i="1"/>
  <c r="J343" i="1"/>
  <c r="J352" i="1"/>
  <c r="J364" i="1"/>
  <c r="J412" i="1"/>
  <c r="J79" i="1"/>
  <c r="J306" i="1"/>
  <c r="J792" i="1"/>
  <c r="J650" i="1"/>
  <c r="J551" i="1"/>
  <c r="J575" i="1"/>
  <c r="J756" i="1"/>
  <c r="J856" i="1"/>
  <c r="J201" i="1"/>
  <c r="J884" i="1"/>
  <c r="J769" i="1"/>
  <c r="J616" i="1"/>
  <c r="J263" i="1"/>
  <c r="J622" i="1"/>
  <c r="J400" i="1"/>
  <c r="J809" i="1"/>
  <c r="J816" i="1"/>
  <c r="J271" i="1"/>
  <c r="J342" i="1"/>
  <c r="J646" i="1"/>
  <c r="J137" i="1"/>
  <c r="J893" i="1"/>
  <c r="J158" i="1"/>
  <c r="J77" i="1"/>
  <c r="J14" i="1"/>
  <c r="J558" i="1"/>
  <c r="J129" i="1"/>
  <c r="J655" i="1"/>
  <c r="J31" i="1"/>
  <c r="J747" i="1"/>
  <c r="J481" i="1"/>
  <c r="J401" i="1"/>
  <c r="J208" i="1"/>
  <c r="J810" i="1"/>
  <c r="J381" i="1"/>
  <c r="J366" i="1"/>
  <c r="J216" i="1"/>
  <c r="J32" i="1"/>
  <c r="J16" i="1"/>
  <c r="J631" i="1"/>
  <c r="J45" i="1"/>
  <c r="J121" i="1"/>
  <c r="J634" i="1"/>
  <c r="J781" i="1"/>
  <c r="J254" i="1"/>
  <c r="J712" i="1"/>
  <c r="J894" i="1"/>
  <c r="J114" i="1"/>
  <c r="J864" i="1"/>
  <c r="J155" i="1"/>
  <c r="J117" i="1"/>
  <c r="J726" i="1"/>
  <c r="J171" i="1"/>
  <c r="J533" i="1"/>
  <c r="J839" i="1"/>
  <c r="J762" i="1"/>
  <c r="J617" i="1"/>
  <c r="J187" i="1"/>
  <c r="J2" i="1"/>
  <c r="J843" i="1"/>
  <c r="J220" i="1"/>
  <c r="J340" i="1"/>
  <c r="J430" i="1"/>
  <c r="J525" i="1"/>
  <c r="J770" i="1"/>
  <c r="J106" i="1"/>
  <c r="J871" i="1"/>
  <c r="J552" i="1"/>
  <c r="J350" i="1"/>
  <c r="J467" i="1"/>
  <c r="J896" i="1"/>
  <c r="J785" i="1"/>
  <c r="J303" i="1"/>
  <c r="J426" i="1"/>
  <c r="J175" i="1"/>
  <c r="J58" i="1"/>
  <c r="J319" i="1"/>
  <c r="J160" i="1"/>
  <c r="J482" i="1"/>
  <c r="J589" i="1"/>
  <c r="J337" i="1"/>
  <c r="J70" i="1"/>
  <c r="J326" i="1"/>
  <c r="J333" i="1"/>
  <c r="J191" i="1"/>
  <c r="J453" i="1"/>
  <c r="J86" i="1"/>
  <c r="J586" i="1"/>
  <c r="J176" i="1"/>
  <c r="J613" i="1"/>
  <c r="J440" i="1"/>
  <c r="J237" i="1"/>
  <c r="J826" i="1"/>
  <c r="J443" i="1"/>
  <c r="J49" i="1"/>
  <c r="J181" i="1"/>
  <c r="J603" i="1"/>
  <c r="J577" i="1"/>
  <c r="J251" i="1"/>
  <c r="J701" i="1"/>
  <c r="J740" i="1"/>
  <c r="J103" i="1"/>
  <c r="J450" i="1"/>
  <c r="J795" i="1"/>
  <c r="J304" i="1"/>
  <c r="J25" i="1"/>
  <c r="J63" i="1"/>
  <c r="J139" i="1"/>
  <c r="J11" i="1"/>
  <c r="J612" i="1"/>
  <c r="J763" i="1"/>
  <c r="J409" i="1"/>
  <c r="J502" i="1"/>
  <c r="J133" i="1"/>
  <c r="J499" i="1"/>
  <c r="J184" i="1"/>
  <c r="J881" i="1"/>
  <c r="J802" i="1"/>
  <c r="J8" i="1"/>
  <c r="J18" i="1"/>
  <c r="J772" i="1"/>
  <c r="J591" i="1"/>
  <c r="J345" i="1"/>
  <c r="J261" i="1"/>
  <c r="J804" i="1"/>
  <c r="J356" i="1"/>
  <c r="J484" i="1"/>
  <c r="J688" i="1"/>
  <c r="J156" i="1"/>
  <c r="J717" i="1"/>
  <c r="J782" i="1"/>
  <c r="J560" i="1"/>
  <c r="J570" i="1"/>
  <c r="J456" i="1"/>
  <c r="J455" i="1"/>
  <c r="J872" i="1"/>
  <c r="J6" i="1"/>
  <c r="J700" i="1"/>
  <c r="J198" i="1"/>
  <c r="J159" i="1"/>
  <c r="J491" i="1"/>
  <c r="J798" i="1"/>
  <c r="J469" i="1"/>
  <c r="J118" i="1"/>
  <c r="J596" i="1"/>
  <c r="J733" i="1"/>
  <c r="J308" i="1"/>
  <c r="J328" i="1"/>
  <c r="J857" i="1"/>
  <c r="J433" i="1"/>
  <c r="J549" i="1"/>
  <c r="J82" i="1"/>
  <c r="J892" i="1"/>
  <c r="J869" i="1"/>
  <c r="J35" i="1"/>
  <c r="J377" i="1"/>
  <c r="J722" i="1"/>
  <c r="J313" i="1"/>
  <c r="J41" i="1"/>
  <c r="J528" i="1"/>
  <c r="J367" i="1"/>
  <c r="J824" i="1"/>
  <c r="J197" i="1"/>
  <c r="J255" i="1"/>
  <c r="J632" i="1"/>
  <c r="J95" i="1"/>
  <c r="J454" i="1"/>
  <c r="J813" i="1"/>
  <c r="J180" i="1"/>
  <c r="J374" i="1"/>
  <c r="J757" i="1"/>
  <c r="J557" i="1"/>
  <c r="J44" i="1"/>
  <c r="J845" i="1"/>
  <c r="J811" i="1"/>
  <c r="J427" i="1"/>
  <c r="J507" i="1"/>
  <c r="J113" i="1"/>
  <c r="J890" i="1"/>
  <c r="J438" i="1"/>
  <c r="J766" i="1"/>
  <c r="J212" i="1"/>
  <c r="J238" i="1"/>
  <c r="J17" i="1"/>
  <c r="J223" i="1"/>
  <c r="J60" i="1"/>
  <c r="J836" i="1"/>
  <c r="J718" i="1"/>
  <c r="J287" i="1"/>
  <c r="J510" i="1"/>
  <c r="J572" i="1"/>
  <c r="J98" i="1"/>
  <c r="J644" i="1"/>
  <c r="J852" i="1"/>
  <c r="J373" i="1"/>
  <c r="J512" i="1"/>
  <c r="J670" i="1"/>
  <c r="J498" i="1"/>
  <c r="J27" i="1"/>
  <c r="J101" i="1"/>
  <c r="J421" i="1"/>
  <c r="J80" i="1"/>
  <c r="J315" i="1"/>
  <c r="J749" i="1"/>
  <c r="J135" i="1"/>
  <c r="J541" i="1"/>
  <c r="J148" i="1"/>
  <c r="J172" i="1"/>
  <c r="J819" i="1"/>
  <c r="J847" i="1"/>
  <c r="J694" i="1"/>
  <c r="J573" i="1"/>
  <c r="J883" i="1"/>
  <c r="J607" i="1"/>
  <c r="J177" i="1"/>
  <c r="J777" i="1"/>
  <c r="J663" i="1"/>
  <c r="J229" i="1"/>
  <c r="J152" i="1"/>
  <c r="J127" i="1"/>
  <c r="J755" i="1"/>
  <c r="J293" i="1"/>
  <c r="J485" i="1"/>
  <c r="J761" i="1"/>
  <c r="J81" i="1"/>
  <c r="J496" i="1"/>
  <c r="J656" i="1"/>
  <c r="J47" i="1"/>
  <c r="J259" i="1"/>
  <c r="J822" i="1"/>
  <c r="J754" i="1"/>
  <c r="J203" i="1"/>
  <c r="J91" i="1"/>
  <c r="J295" i="1"/>
  <c r="J841" i="1"/>
  <c r="J64" i="1"/>
  <c r="J434" i="1"/>
  <c r="J131" i="1"/>
  <c r="J566" i="1"/>
  <c r="J651" i="1"/>
  <c r="J276" i="1"/>
  <c r="J665" i="1"/>
  <c r="J83" i="1"/>
  <c r="J104" i="1"/>
  <c r="J138" i="1"/>
  <c r="J562" i="1"/>
  <c r="J672" i="1"/>
  <c r="J678" i="1"/>
  <c r="J256" i="1"/>
  <c r="J67" i="1"/>
  <c r="J185" i="1"/>
  <c r="J542" i="1"/>
  <c r="J310" i="1"/>
  <c r="J765" i="1"/>
  <c r="J796" i="1"/>
  <c r="J543" i="1"/>
  <c r="J389" i="1"/>
  <c r="J56" i="1"/>
  <c r="J882" i="1"/>
  <c r="J629" i="1"/>
  <c r="J594" i="1"/>
  <c r="J170" i="1"/>
  <c r="J431" i="1"/>
  <c r="J168" i="1"/>
  <c r="J28" i="1"/>
  <c r="J676" i="1"/>
  <c r="J277" i="1"/>
  <c r="J298" i="1"/>
  <c r="J29" i="1"/>
  <c r="J97" i="1"/>
  <c r="J406" i="1"/>
  <c r="J267" i="1"/>
  <c r="J517" i="1"/>
  <c r="J186" i="1"/>
  <c r="J799" i="1"/>
  <c r="J407" i="1"/>
  <c r="J704" i="1"/>
  <c r="J182" i="1"/>
  <c r="J459" i="1"/>
  <c r="J268" i="1"/>
  <c r="J690" i="1"/>
  <c r="J110" i="1"/>
  <c r="J246" i="1"/>
  <c r="J51" i="1"/>
  <c r="J786" i="1"/>
  <c r="J723" i="1"/>
  <c r="J546" i="1"/>
  <c r="J239" i="1"/>
  <c r="J115" i="1"/>
  <c r="J509" i="1"/>
  <c r="J123" i="1"/>
  <c r="J85" i="1"/>
  <c r="J112" i="1"/>
  <c r="J258" i="1"/>
  <c r="J5" i="1"/>
  <c r="J745" i="1"/>
  <c r="J825" i="1"/>
  <c r="J609" i="1"/>
  <c r="J362" i="1"/>
  <c r="J548" i="1"/>
  <c r="J814" i="1"/>
  <c r="J532" i="1"/>
  <c r="J833" i="1"/>
  <c r="J241" i="1"/>
  <c r="J169" i="1"/>
  <c r="J161" i="1"/>
  <c r="J776" i="1"/>
  <c r="J394" i="1"/>
  <c r="J721" i="1"/>
  <c r="J505" i="1"/>
  <c r="J592" i="1"/>
  <c r="J189" i="1"/>
  <c r="J245" i="1"/>
  <c r="J664" i="1"/>
  <c r="J767" i="1"/>
  <c r="J69" i="1"/>
  <c r="J738" i="1"/>
  <c r="J227" i="1"/>
  <c r="J842" i="1"/>
  <c r="J465" i="1"/>
  <c r="J709" i="1"/>
  <c r="J144" i="1"/>
  <c r="J840" i="1"/>
  <c r="J413" i="1"/>
  <c r="J395" i="1"/>
  <c r="J582" i="1"/>
  <c r="J448" i="1"/>
  <c r="N139" i="6" l="1"/>
  <c r="T31" i="2" s="1"/>
  <c r="T32" i="2" s="1"/>
  <c r="N138" i="6"/>
  <c r="T25" i="2" s="1"/>
  <c r="T26" i="2" s="1"/>
  <c r="N135" i="6"/>
  <c r="T6" i="2" s="1"/>
  <c r="T7" i="2" s="1"/>
  <c r="N137" i="6"/>
  <c r="T18" i="2" s="1"/>
  <c r="T19" i="2" s="1"/>
  <c r="N136" i="6"/>
  <c r="O5" i="6"/>
  <c r="O6" i="6"/>
  <c r="O7" i="6"/>
  <c r="O8" i="6"/>
  <c r="O9" i="6"/>
  <c r="O4" i="6"/>
  <c r="N5" i="6"/>
  <c r="N6" i="6"/>
  <c r="N7" i="6"/>
  <c r="N8" i="6"/>
  <c r="N9" i="6"/>
  <c r="N4" i="6"/>
  <c r="M5" i="6"/>
  <c r="M6" i="6"/>
  <c r="M7" i="6"/>
  <c r="M8" i="6"/>
  <c r="M9" i="6"/>
  <c r="M4" i="6"/>
  <c r="AM6" i="6"/>
  <c r="AM5" i="6"/>
  <c r="AL6" i="6"/>
  <c r="AL5" i="6"/>
  <c r="AE5" i="6"/>
  <c r="Z5" i="6"/>
  <c r="S5" i="6"/>
  <c r="T5" i="6" s="1"/>
  <c r="J5" i="6"/>
  <c r="J6" i="6"/>
  <c r="J7" i="6"/>
  <c r="J8" i="6"/>
  <c r="J9" i="6"/>
  <c r="J4" i="6"/>
  <c r="T12" i="2" l="1"/>
  <c r="T13" i="2" s="1"/>
  <c r="O10" i="6"/>
  <c r="L9" i="6"/>
  <c r="L8" i="6"/>
  <c r="L5" i="6"/>
  <c r="L7" i="6"/>
  <c r="L4" i="6"/>
  <c r="L6" i="6"/>
  <c r="K4" i="6"/>
  <c r="K6" i="6"/>
  <c r="K8" i="6"/>
  <c r="K7" i="6"/>
  <c r="K9" i="6"/>
  <c r="K5" i="6"/>
</calcChain>
</file>

<file path=xl/connections.xml><?xml version="1.0" encoding="utf-8"?>
<connections xmlns="http://schemas.openxmlformats.org/spreadsheetml/2006/main">
  <connection id="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ynthetic_Income_Data (version 2).xlsb!Table2" type="102" refreshedVersion="7" minRefreshableVersion="5">
    <extLst>
      <ext xmlns:x15="http://schemas.microsoft.com/office/spreadsheetml/2010/11/main" uri="{DE250136-89BD-433C-8126-D09CA5730AF9}">
        <x15:connection id="Table2" autoDelete="1">
          <x15:rangePr sourceName="_xlcn.WorksheetConnection_Synthetic_Income_Dataversion2.xlsbTable21"/>
        </x15:connection>
      </ext>
    </extLst>
  </connection>
</connections>
</file>

<file path=xl/sharedStrings.xml><?xml version="1.0" encoding="utf-8"?>
<sst xmlns="http://schemas.openxmlformats.org/spreadsheetml/2006/main" count="5609" uniqueCount="100">
  <si>
    <t>Year</t>
  </si>
  <si>
    <t>Month</t>
  </si>
  <si>
    <t>Income sources</t>
  </si>
  <si>
    <t>Income Breakdowns</t>
  </si>
  <si>
    <t>Counts</t>
  </si>
  <si>
    <t>Income</t>
  </si>
  <si>
    <t>Target Income</t>
  </si>
  <si>
    <t>Operating profit</t>
  </si>
  <si>
    <t>Marketing Strategies</t>
  </si>
  <si>
    <t>Jan</t>
  </si>
  <si>
    <t>Advertising</t>
  </si>
  <si>
    <t>Television Ad</t>
  </si>
  <si>
    <t>B2B</t>
  </si>
  <si>
    <t>Sep</t>
  </si>
  <si>
    <t>Apr</t>
  </si>
  <si>
    <t>Usage fees</t>
  </si>
  <si>
    <t>Youtube Channel</t>
  </si>
  <si>
    <t>Company Website</t>
  </si>
  <si>
    <t>Mixed</t>
  </si>
  <si>
    <t>Feb</t>
  </si>
  <si>
    <t>Offices</t>
  </si>
  <si>
    <t>Renting</t>
  </si>
  <si>
    <t>Equipments</t>
  </si>
  <si>
    <t>Asset sale</t>
  </si>
  <si>
    <t>Oct</t>
  </si>
  <si>
    <t>Licensing</t>
  </si>
  <si>
    <t>Renewal</t>
  </si>
  <si>
    <t>Jun</t>
  </si>
  <si>
    <t>B2C</t>
  </si>
  <si>
    <t>Subscription</t>
  </si>
  <si>
    <t>New</t>
  </si>
  <si>
    <t>Aug</t>
  </si>
  <si>
    <t>Nov</t>
  </si>
  <si>
    <t>May</t>
  </si>
  <si>
    <t>Premium</t>
  </si>
  <si>
    <t>Lands</t>
  </si>
  <si>
    <t>Mar</t>
  </si>
  <si>
    <t>Google Ad</t>
  </si>
  <si>
    <t>Prime</t>
  </si>
  <si>
    <t>Floating License</t>
  </si>
  <si>
    <t>Jul</t>
  </si>
  <si>
    <t>Dec</t>
  </si>
  <si>
    <t>Facebook Page</t>
  </si>
  <si>
    <t>Software Metered License</t>
  </si>
  <si>
    <t>Country</t>
  </si>
  <si>
    <t>Amount</t>
  </si>
  <si>
    <t>Target</t>
  </si>
  <si>
    <t>Stage</t>
  </si>
  <si>
    <t>Canada</t>
  </si>
  <si>
    <t>Current Stage</t>
  </si>
  <si>
    <t>Total Project</t>
  </si>
  <si>
    <t>Egypt</t>
  </si>
  <si>
    <t>Australia</t>
  </si>
  <si>
    <t>Saving</t>
  </si>
  <si>
    <t>USA</t>
  </si>
  <si>
    <t>Russia</t>
  </si>
  <si>
    <t>United Kingdom</t>
  </si>
  <si>
    <t>Brazil</t>
  </si>
  <si>
    <t>France</t>
  </si>
  <si>
    <t>Finance</t>
  </si>
  <si>
    <t>Germany</t>
  </si>
  <si>
    <t>India</t>
  </si>
  <si>
    <t>g</t>
  </si>
  <si>
    <t>Row Labels</t>
  </si>
  <si>
    <t>Sum of Income</t>
  </si>
  <si>
    <t>X</t>
  </si>
  <si>
    <t>Y</t>
  </si>
  <si>
    <t>AMOUNT</t>
  </si>
  <si>
    <t>MAX</t>
  </si>
  <si>
    <t>without max</t>
  </si>
  <si>
    <t>Sum of Target Income</t>
  </si>
  <si>
    <t>income</t>
  </si>
  <si>
    <t>v</t>
  </si>
  <si>
    <t>Sum of Income2</t>
  </si>
  <si>
    <t>Sum of Counts</t>
  </si>
  <si>
    <t>Sum of Counts2</t>
  </si>
  <si>
    <t>Count</t>
  </si>
  <si>
    <t>Count%</t>
  </si>
  <si>
    <t>Avg. income per month</t>
  </si>
  <si>
    <t>Sum of Operating profit</t>
  </si>
  <si>
    <t>Grand Total</t>
  </si>
  <si>
    <t>Operating Profits</t>
  </si>
  <si>
    <t>profit%</t>
  </si>
  <si>
    <t>vio;rt</t>
  </si>
  <si>
    <t>income%</t>
  </si>
  <si>
    <t>date</t>
  </si>
  <si>
    <t>date (Month)</t>
  </si>
  <si>
    <t>2024</t>
  </si>
  <si>
    <t>2025</t>
  </si>
  <si>
    <t>date (Year)</t>
  </si>
  <si>
    <t>Operating profit%</t>
  </si>
  <si>
    <t>sum of income</t>
  </si>
  <si>
    <t>sum of operating profit</t>
  </si>
  <si>
    <t>profit %</t>
  </si>
  <si>
    <t>sum of counts</t>
  </si>
  <si>
    <t>sum of target income</t>
  </si>
  <si>
    <t>this month</t>
  </si>
  <si>
    <t>previous month</t>
  </si>
  <si>
    <t>mom%</t>
  </si>
  <si>
    <t>MoM%</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</si>
</sst>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Avenir "/>
      <family val="2"/>
      <scheme val="minor"/>
    </font>
    <font>
      <b/>
      <sz val="11"/>
      <color rgb="FFFFFFFF"/>
      <name val="Calibri"/>
    </font>
    <font>
      <sz val="11"/>
      <color rgb="FF1D1D3A"/>
      <name val="Avenir "/>
      <family val="2"/>
      <scheme val="minor"/>
    </font>
    <font>
      <sz val="11"/>
      <color theme="0"/>
      <name val="Avenir "/>
      <family val="2"/>
      <scheme val="minor"/>
    </font>
    <font>
      <b/>
      <sz val="11"/>
      <color rgb="FFFFFFFF"/>
      <name val="Calibri"/>
      <family val="2"/>
    </font>
    <font>
      <sz val="11"/>
      <color theme="8" tint="0.79998168889431442"/>
      <name val="Arial Black"/>
      <family val="2"/>
    </font>
    <font>
      <sz val="11"/>
      <color rgb="FFC240DB"/>
      <name val="Avenir "/>
      <family val="2"/>
      <scheme val="minor"/>
    </font>
  </fonts>
  <fills count="8">
    <fill>
      <patternFill patternType="none"/>
    </fill>
    <fill>
      <patternFill patternType="gray125"/>
    </fill>
    <fill>
      <patternFill patternType="solid">
        <fgColor rgb="FF6A0DAD"/>
        <bgColor rgb="FF6A0DAD"/>
      </patternFill>
    </fill>
    <fill>
      <patternFill patternType="solid">
        <fgColor rgb="FFC2185B"/>
        <bgColor rgb="FFC2185B"/>
      </patternFill>
    </fill>
    <fill>
      <patternFill patternType="solid">
        <fgColor theme="1" tint="4.9989318521683403E-2"/>
        <bgColor indexed="64"/>
      </patternFill>
    </fill>
    <fill>
      <patternFill patternType="solid">
        <fgColor theme="1"/>
        <bgColor indexed="64"/>
      </patternFill>
    </fill>
    <fill>
      <patternFill patternType="solid">
        <fgColor theme="7" tint="0.79998168889431442"/>
        <bgColor theme="7" tint="0.79998168889431442"/>
      </patternFill>
    </fill>
    <fill>
      <patternFill patternType="solid">
        <fgColor rgb="FFFFFF00"/>
        <bgColor indexed="64"/>
      </patternFill>
    </fill>
  </fills>
  <borders count="4">
    <border>
      <left/>
      <right/>
      <top/>
      <bottom/>
      <diagonal/>
    </border>
    <border>
      <left style="medium">
        <color theme="1" tint="0.499984740745262"/>
      </left>
      <right/>
      <top/>
      <bottom/>
      <diagonal/>
    </border>
    <border>
      <left style="medium">
        <color theme="1" tint="0.499984740745262"/>
      </left>
      <right/>
      <top/>
      <bottom style="medium">
        <color theme="1" tint="0.499984740745262"/>
      </bottom>
      <diagonal/>
    </border>
    <border>
      <left style="medium">
        <color theme="1" tint="0.499984740745262"/>
      </left>
      <right/>
      <top/>
      <bottom style="medium">
        <color theme="7" tint="0.79998168889431442"/>
      </bottom>
      <diagonal/>
    </border>
  </borders>
  <cellStyleXfs count="1">
    <xf numFmtId="0" fontId="0" fillId="0" borderId="0"/>
  </cellStyleXfs>
  <cellXfs count="30">
    <xf numFmtId="0" fontId="0" fillId="0" borderId="0" xfId="0"/>
    <xf numFmtId="0" fontId="1" fillId="2" borderId="0" xfId="0" applyFont="1" applyFill="1" applyAlignment="1">
      <alignment horizontal="center" vertical="center"/>
    </xf>
    <xf numFmtId="0" fontId="0" fillId="0" borderId="0" xfId="0"/>
    <xf numFmtId="0" fontId="1" fillId="3" borderId="0" xfId="0" applyFont="1" applyFill="1" applyAlignment="1">
      <alignment horizontal="center" vertical="center"/>
    </xf>
    <xf numFmtId="0" fontId="0" fillId="4" borderId="0" xfId="0" applyFill="1"/>
    <xf numFmtId="0" fontId="2" fillId="4" borderId="0" xfId="0" applyFont="1" applyFill="1"/>
    <xf numFmtId="0" fontId="0" fillId="0" borderId="0" xfId="0" pivotButton="1"/>
    <xf numFmtId="0" fontId="0" fillId="0" borderId="0" xfId="0" applyAlignment="1">
      <alignment horizontal="left"/>
    </xf>
    <xf numFmtId="0" fontId="0" fillId="0" borderId="0" xfId="0" applyNumberFormat="1"/>
    <xf numFmtId="0" fontId="0" fillId="6" borderId="1" xfId="0" applyFont="1" applyFill="1" applyBorder="1" applyAlignment="1">
      <alignment horizontal="left"/>
    </xf>
    <xf numFmtId="0" fontId="0" fillId="6" borderId="2" xfId="0" applyFont="1" applyFill="1" applyBorder="1" applyAlignment="1">
      <alignment horizontal="left"/>
    </xf>
    <xf numFmtId="0" fontId="3" fillId="5" borderId="0" xfId="0" applyFont="1" applyFill="1"/>
    <xf numFmtId="0" fontId="0" fillId="0" borderId="0" xfId="0" applyAlignment="1">
      <alignment horizontal="center"/>
    </xf>
    <xf numFmtId="0" fontId="3" fillId="5" borderId="0" xfId="0" applyFont="1" applyFill="1" applyAlignment="1">
      <alignment horizontal="center"/>
    </xf>
    <xf numFmtId="9" fontId="0" fillId="0" borderId="0" xfId="0" applyNumberFormat="1"/>
    <xf numFmtId="3" fontId="0" fillId="0" borderId="0" xfId="0" applyNumberFormat="1"/>
    <xf numFmtId="10" fontId="0" fillId="0" borderId="0" xfId="0" applyNumberFormat="1"/>
    <xf numFmtId="0" fontId="0" fillId="0" borderId="0" xfId="0" applyAlignment="1">
      <alignment horizontal="left" indent="1"/>
    </xf>
    <xf numFmtId="0" fontId="0" fillId="6" borderId="1" xfId="0" applyFont="1" applyFill="1" applyBorder="1" applyAlignment="1">
      <alignment horizontal="left" indent="1"/>
    </xf>
    <xf numFmtId="0" fontId="0" fillId="6" borderId="3" xfId="0" applyFont="1" applyFill="1" applyBorder="1" applyAlignment="1">
      <alignment horizontal="left" indent="1"/>
    </xf>
    <xf numFmtId="9" fontId="0" fillId="6" borderId="0" xfId="0" applyNumberFormat="1" applyFont="1" applyFill="1"/>
    <xf numFmtId="14" fontId="0" fillId="0" borderId="0" xfId="0" applyNumberFormat="1"/>
    <xf numFmtId="0" fontId="4" fillId="2" borderId="0" xfId="0" applyFont="1" applyFill="1" applyAlignment="1">
      <alignment horizontal="center" vertical="center"/>
    </xf>
    <xf numFmtId="0" fontId="0" fillId="7" borderId="0" xfId="0" applyNumberFormat="1" applyFill="1"/>
    <xf numFmtId="9" fontId="0" fillId="7" borderId="0" xfId="0" applyNumberFormat="1" applyFill="1"/>
    <xf numFmtId="0" fontId="5" fillId="4" borderId="0" xfId="0" applyFont="1" applyFill="1"/>
    <xf numFmtId="9" fontId="2" fillId="4" borderId="0" xfId="0" applyNumberFormat="1" applyFont="1" applyFill="1"/>
    <xf numFmtId="9" fontId="0" fillId="4" borderId="0" xfId="0" applyNumberFormat="1" applyFill="1"/>
    <xf numFmtId="9" fontId="6" fillId="4" borderId="0" xfId="0" applyNumberFormat="1" applyFont="1" applyFill="1" applyAlignment="1">
      <alignment horizontal="center"/>
    </xf>
    <xf numFmtId="10" fontId="0" fillId="7" borderId="0" xfId="0" applyNumberFormat="1" applyFill="1"/>
  </cellXfs>
  <cellStyles count="1">
    <cellStyle name="Normal" xfId="0" builtinId="0"/>
  </cellStyles>
  <dxfs count="19">
    <dxf>
      <numFmt numFmtId="3" formatCode="#,##0"/>
    </dxf>
    <dxf>
      <numFmt numFmtId="13" formatCode="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bgColor rgb="FFFFFF00"/>
        </patternFill>
      </fill>
    </dxf>
    <dxf>
      <fill>
        <patternFill patternType="solid">
          <bgColor rgb="FFFFFF00"/>
        </patternFill>
      </fill>
    </dxf>
    <dxf>
      <numFmt numFmtId="14" formatCode="0.00%"/>
    </dxf>
    <dxf>
      <numFmt numFmtId="3" formatCode="#,##0"/>
    </dxf>
    <dxf>
      <numFmt numFmtId="13" formatCode="0%"/>
    </dxf>
    <dxf>
      <numFmt numFmtId="14" formatCode="0.00%"/>
    </dxf>
    <dxf>
      <numFmt numFmtId="3" formatCode="#,##0"/>
    </dxf>
    <dxf>
      <numFmt numFmtId="3" formatCode="#,##0"/>
    </dxf>
    <dxf>
      <numFmt numFmtId="3" formatCode="#,##0"/>
    </dxf>
    <dxf>
      <numFmt numFmtId="3" formatCode="#,##0"/>
    </dxf>
    <dxf>
      <font>
        <b/>
        <i val="0"/>
        <strike val="0"/>
        <condense val="0"/>
        <extend val="0"/>
        <outline val="0"/>
        <shadow val="0"/>
        <u val="none"/>
        <vertAlign val="baseline"/>
        <sz val="11"/>
        <color rgb="FFFFFFFF"/>
        <name val="Calibri"/>
        <scheme val="none"/>
      </font>
      <fill>
        <patternFill patternType="solid">
          <fgColor rgb="FF6A0DAD"/>
          <bgColor rgb="FF6A0DAD"/>
        </patternFill>
      </fill>
      <alignment horizontal="center" vertical="center" textRotation="0" wrapText="0" indent="0" justifyLastLine="0" shrinkToFit="0" readingOrder="0"/>
    </dxf>
    <dxf>
      <font>
        <color theme="0"/>
      </font>
      <fill>
        <patternFill>
          <bgColor theme="1"/>
        </patternFill>
      </fill>
      <border diagonalUp="0" diagonalDown="0">
        <left/>
        <right/>
        <top/>
        <bottom/>
        <vertical/>
        <horizontal/>
      </border>
    </dxf>
  </dxfs>
  <tableStyles count="1" defaultTableStyle="TableStyleMedium2" defaultPivotStyle="PivotStyleLight16">
    <tableStyle name="Slicer Style 1" pivot="0" table="0" count="3">
      <tableStyleElement type="wholeTable" dxfId="18"/>
    </tableStyle>
  </tableStyles>
  <colors>
    <mruColors>
      <color rgb="FF450BE9"/>
      <color rgb="FFC240DB"/>
      <color rgb="FFD17DB9"/>
      <color rgb="FF95F3DA"/>
      <color rgb="FF934757"/>
      <color rgb="FF0C00F4"/>
      <color rgb="FF070E25"/>
      <color rgb="FF07DE25"/>
      <color rgb="FFD01158"/>
      <color rgb="FF3704C8"/>
    </mruColors>
  </colors>
  <extLst>
    <ext xmlns:x14="http://schemas.microsoft.com/office/spreadsheetml/2009/9/main" uri="{46F421CA-312F-682f-3DD2-61675219B42D}">
      <x14:dxfs count="2">
        <dxf>
          <font>
            <color auto="1"/>
          </font>
          <fill>
            <patternFill>
              <bgColor theme="0"/>
            </patternFill>
          </fill>
        </dxf>
        <dxf>
          <font>
            <color auto="1"/>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c:spPr>
          <c:explosion val="5"/>
          <c:dPt>
            <c:idx val="0"/>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01-F9DB-4B71-A484-6B17694A376F}"/>
              </c:ext>
            </c:extLst>
          </c:dPt>
          <c:dPt>
            <c:idx val="1"/>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03-F9DB-4B71-A484-6B17694A376F}"/>
              </c:ext>
            </c:extLst>
          </c:dPt>
          <c:dPt>
            <c:idx val="2"/>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05-F9DB-4B71-A484-6B17694A376F}"/>
              </c:ext>
            </c:extLst>
          </c:dPt>
          <c:dPt>
            <c:idx val="3"/>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07-F9DB-4B71-A484-6B17694A376F}"/>
              </c:ext>
            </c:extLst>
          </c:dPt>
          <c:dPt>
            <c:idx val="4"/>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09-F9DB-4B71-A484-6B17694A376F}"/>
              </c:ext>
            </c:extLst>
          </c:dPt>
          <c:dPt>
            <c:idx val="5"/>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0B-F9DB-4B71-A484-6B17694A376F}"/>
              </c:ext>
            </c:extLst>
          </c:dPt>
          <c:dPt>
            <c:idx val="6"/>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0D-F9DB-4B71-A484-6B17694A376F}"/>
              </c:ext>
            </c:extLst>
          </c:dPt>
          <c:dPt>
            <c:idx val="7"/>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0F-F9DB-4B71-A484-6B17694A376F}"/>
              </c:ext>
            </c:extLst>
          </c:dPt>
          <c:dPt>
            <c:idx val="8"/>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11-F9DB-4B71-A484-6B17694A376F}"/>
              </c:ext>
            </c:extLst>
          </c:dPt>
          <c:dPt>
            <c:idx val="9"/>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13-F9DB-4B71-A484-6B17694A376F}"/>
              </c:ext>
            </c:extLst>
          </c:dPt>
          <c:dPt>
            <c:idx val="10"/>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15-F9DB-4B71-A484-6B17694A376F}"/>
              </c:ext>
            </c:extLst>
          </c:dPt>
          <c:dPt>
            <c:idx val="11"/>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17-F9DB-4B71-A484-6B17694A376F}"/>
              </c:ext>
            </c:extLst>
          </c:dPt>
          <c:dPt>
            <c:idx val="12"/>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19-F9DB-4B71-A484-6B17694A376F}"/>
              </c:ext>
            </c:extLst>
          </c:dPt>
          <c:dPt>
            <c:idx val="13"/>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1B-F9DB-4B71-A484-6B17694A376F}"/>
              </c:ext>
            </c:extLst>
          </c:dPt>
          <c:dPt>
            <c:idx val="14"/>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1D-F9DB-4B71-A484-6B17694A376F}"/>
              </c:ext>
            </c:extLst>
          </c:dPt>
          <c:dPt>
            <c:idx val="15"/>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1F-F9DB-4B71-A484-6B17694A376F}"/>
              </c:ext>
            </c:extLst>
          </c:dPt>
          <c:dPt>
            <c:idx val="16"/>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21-F9DB-4B71-A484-6B17694A376F}"/>
              </c:ext>
            </c:extLst>
          </c:dPt>
          <c:dPt>
            <c:idx val="17"/>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23-F9DB-4B71-A484-6B17694A376F}"/>
              </c:ext>
            </c:extLst>
          </c:dPt>
          <c:dPt>
            <c:idx val="18"/>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25-F9DB-4B71-A484-6B17694A376F}"/>
              </c:ext>
            </c:extLst>
          </c:dPt>
          <c:dPt>
            <c:idx val="19"/>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27-F9DB-4B71-A484-6B17694A376F}"/>
              </c:ext>
            </c:extLst>
          </c:dPt>
          <c:dPt>
            <c:idx val="20"/>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29-F9DB-4B71-A484-6B17694A376F}"/>
              </c:ext>
            </c:extLst>
          </c:dPt>
          <c:dPt>
            <c:idx val="21"/>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2B-F9DB-4B71-A484-6B17694A376F}"/>
              </c:ext>
            </c:extLst>
          </c:dPt>
          <c:dPt>
            <c:idx val="22"/>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2D-F9DB-4B71-A484-6B17694A376F}"/>
              </c:ext>
            </c:extLst>
          </c:dPt>
          <c:dPt>
            <c:idx val="23"/>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2F-F9DB-4B71-A484-6B17694A376F}"/>
              </c:ext>
            </c:extLst>
          </c:dPt>
          <c:dPt>
            <c:idx val="24"/>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31-F9DB-4B71-A484-6B17694A376F}"/>
              </c:ext>
            </c:extLst>
          </c:dPt>
          <c:dPt>
            <c:idx val="25"/>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33-F9DB-4B71-A484-6B17694A376F}"/>
              </c:ext>
            </c:extLst>
          </c:dPt>
          <c:dPt>
            <c:idx val="26"/>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35-F9DB-4B71-A484-6B17694A376F}"/>
              </c:ext>
            </c:extLst>
          </c:dPt>
          <c:dPt>
            <c:idx val="27"/>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37-F9DB-4B71-A484-6B17694A376F}"/>
              </c:ext>
            </c:extLst>
          </c:dPt>
          <c:dPt>
            <c:idx val="28"/>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39-F9DB-4B71-A484-6B17694A376F}"/>
              </c:ext>
            </c:extLst>
          </c:dPt>
          <c:dPt>
            <c:idx val="29"/>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3B-F9DB-4B71-A484-6B17694A376F}"/>
              </c:ext>
            </c:extLst>
          </c:dPt>
          <c:dPt>
            <c:idx val="30"/>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3D-F9DB-4B71-A484-6B17694A376F}"/>
              </c:ext>
            </c:extLst>
          </c:dPt>
          <c:dPt>
            <c:idx val="31"/>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3F-F9DB-4B71-A484-6B17694A376F}"/>
              </c:ext>
            </c:extLst>
          </c:dPt>
          <c:dPt>
            <c:idx val="32"/>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41-F9DB-4B71-A484-6B17694A376F}"/>
              </c:ext>
            </c:extLst>
          </c:dPt>
          <c:dPt>
            <c:idx val="33"/>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43-F9DB-4B71-A484-6B17694A376F}"/>
              </c:ext>
            </c:extLst>
          </c:dPt>
          <c:dPt>
            <c:idx val="34"/>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45-F9DB-4B71-A484-6B17694A376F}"/>
              </c:ext>
            </c:extLst>
          </c:dPt>
          <c:dPt>
            <c:idx val="35"/>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47-F9DB-4B71-A484-6B17694A376F}"/>
              </c:ext>
            </c:extLst>
          </c:dPt>
          <c:dPt>
            <c:idx val="36"/>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49-F9DB-4B71-A484-6B17694A376F}"/>
              </c:ext>
            </c:extLst>
          </c:dPt>
          <c:dPt>
            <c:idx val="37"/>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4B-F9DB-4B71-A484-6B17694A376F}"/>
              </c:ext>
            </c:extLst>
          </c:dPt>
          <c:dPt>
            <c:idx val="38"/>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4D-F9DB-4B71-A484-6B17694A376F}"/>
              </c:ext>
            </c:extLst>
          </c:dPt>
          <c:dPt>
            <c:idx val="39"/>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4F-F9DB-4B71-A484-6B17694A376F}"/>
              </c:ext>
            </c:extLst>
          </c:dPt>
          <c:dPt>
            <c:idx val="40"/>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51-F9DB-4B71-A484-6B17694A376F}"/>
              </c:ext>
            </c:extLst>
          </c:dPt>
          <c:dPt>
            <c:idx val="41"/>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53-F9DB-4B71-A484-6B17694A376F}"/>
              </c:ext>
            </c:extLst>
          </c:dPt>
          <c:dPt>
            <c:idx val="42"/>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55-F9DB-4B71-A484-6B17694A376F}"/>
              </c:ext>
            </c:extLst>
          </c:dPt>
          <c:dPt>
            <c:idx val="43"/>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57-F9DB-4B71-A484-6B17694A376F}"/>
              </c:ext>
            </c:extLst>
          </c:dPt>
          <c:dPt>
            <c:idx val="44"/>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59-F9DB-4B71-A484-6B17694A376F}"/>
              </c:ext>
            </c:extLst>
          </c:dPt>
          <c:dPt>
            <c:idx val="45"/>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5B-F9DB-4B71-A484-6B17694A376F}"/>
              </c:ext>
            </c:extLst>
          </c:dPt>
          <c:dPt>
            <c:idx val="46"/>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5D-F9DB-4B71-A484-6B17694A376F}"/>
              </c:ext>
            </c:extLst>
          </c:dPt>
          <c:dPt>
            <c:idx val="47"/>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5F-F9DB-4B71-A484-6B17694A376F}"/>
              </c:ext>
            </c:extLst>
          </c:dPt>
          <c:dPt>
            <c:idx val="48"/>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61-F9DB-4B71-A484-6B17694A376F}"/>
              </c:ext>
            </c:extLst>
          </c:dPt>
          <c:dPt>
            <c:idx val="49"/>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63-F9DB-4B71-A484-6B17694A376F}"/>
              </c:ext>
            </c:extLst>
          </c:dPt>
          <c:dPt>
            <c:idx val="50"/>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65-F9DB-4B71-A484-6B17694A376F}"/>
              </c:ext>
            </c:extLst>
          </c:dPt>
          <c:dPt>
            <c:idx val="51"/>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67-F9DB-4B71-A484-6B17694A376F}"/>
              </c:ext>
            </c:extLst>
          </c:dPt>
          <c:dPt>
            <c:idx val="52"/>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69-F9DB-4B71-A484-6B17694A376F}"/>
              </c:ext>
            </c:extLst>
          </c:dPt>
          <c:dPt>
            <c:idx val="53"/>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6B-F9DB-4B71-A484-6B17694A376F}"/>
              </c:ext>
            </c:extLst>
          </c:dPt>
          <c:dPt>
            <c:idx val="54"/>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6D-F9DB-4B71-A484-6B17694A376F}"/>
              </c:ext>
            </c:extLst>
          </c:dPt>
          <c:dPt>
            <c:idx val="55"/>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6F-F9DB-4B71-A484-6B17694A376F}"/>
              </c:ext>
            </c:extLst>
          </c:dPt>
          <c:dPt>
            <c:idx val="56"/>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71-F9DB-4B71-A484-6B17694A376F}"/>
              </c:ext>
            </c:extLst>
          </c:dPt>
          <c:dPt>
            <c:idx val="57"/>
            <c:bubble3D val="0"/>
            <c:spPr>
              <a:gradFill>
                <a:gsLst>
                  <a:gs pos="9000">
                    <a:srgbClr val="D17DB9">
                      <a:lumMod val="96000"/>
                    </a:srgbClr>
                  </a:gs>
                  <a:gs pos="96000">
                    <a:srgbClr val="7030A0">
                      <a:lumMod val="3000"/>
                    </a:srgbClr>
                  </a:gs>
                </a:gsLst>
                <a:lin ang="12600000" scaled="0"/>
              </a:gradFill>
              <a:ln w="76200">
                <a:solidFill>
                  <a:schemeClr val="tx1">
                    <a:lumMod val="95000"/>
                    <a:lumOff val="5000"/>
                  </a:schemeClr>
                </a:solidFill>
              </a:ln>
              <a:effectLst/>
            </c:spPr>
            <c:extLst xmlns:c16r2="http://schemas.microsoft.com/office/drawing/2015/06/chart">
              <c:ext xmlns:c16="http://schemas.microsoft.com/office/drawing/2014/chart" uri="{C3380CC4-5D6E-409C-BE32-E72D297353CC}">
                <c16:uniqueId val="{00000073-F9DB-4B71-A484-6B17694A376F}"/>
              </c:ext>
            </c:extLst>
          </c:dPt>
          <c:val>
            <c:numRef>
              <c:f>pivots!$T$20:$T$77</c:f>
              <c:numCache>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val>
          <c:extLst xmlns:c16r2="http://schemas.microsoft.com/office/drawing/2015/06/chart">
            <c:ext xmlns:c16="http://schemas.microsoft.com/office/drawing/2014/chart" uri="{C3380CC4-5D6E-409C-BE32-E72D297353CC}">
              <c16:uniqueId val="{00000074-F9DB-4B71-A484-6B17694A376F}"/>
            </c:ext>
          </c:extLst>
        </c:ser>
        <c:dLbls>
          <c:showLegendKey val="0"/>
          <c:showVal val="0"/>
          <c:showCatName val="0"/>
          <c:showSerName val="0"/>
          <c:showPercent val="0"/>
          <c:showBubbleSize val="0"/>
          <c:showLeaderLines val="1"/>
        </c:dLbls>
        <c:firstSliceAng val="0"/>
        <c:holeSize val="75"/>
      </c:doughnutChart>
      <c:doughnutChart>
        <c:varyColors val="1"/>
        <c:ser>
          <c:idx val="1"/>
          <c:order val="1"/>
          <c:spPr>
            <a:ln>
              <a:noFill/>
            </a:ln>
          </c:spPr>
          <c:dPt>
            <c:idx val="0"/>
            <c:bubble3D val="0"/>
            <c:spPr>
              <a:solidFill>
                <a:schemeClr val="tx2">
                  <a:lumMod val="20000"/>
                  <a:lumOff val="80000"/>
                  <a:alpha val="0"/>
                </a:schemeClr>
              </a:solidFill>
              <a:ln w="19050">
                <a:noFill/>
              </a:ln>
              <a:effectLst/>
            </c:spPr>
            <c:extLst xmlns:c16r2="http://schemas.microsoft.com/office/drawing/2015/06/chart">
              <c:ext xmlns:c16="http://schemas.microsoft.com/office/drawing/2014/chart" uri="{C3380CC4-5D6E-409C-BE32-E72D297353CC}">
                <c16:uniqueId val="{00000076-F9DB-4B71-A484-6B17694A376F}"/>
              </c:ext>
            </c:extLst>
          </c:dPt>
          <c:dPt>
            <c:idx val="1"/>
            <c:bubble3D val="0"/>
            <c:spPr>
              <a:solidFill>
                <a:schemeClr val="tx1">
                  <a:lumMod val="95000"/>
                  <a:lumOff val="5000"/>
                  <a:alpha val="94000"/>
                </a:schemeClr>
              </a:solidFill>
              <a:ln w="19050">
                <a:noFill/>
              </a:ln>
              <a:effectLst/>
            </c:spPr>
            <c:extLst xmlns:c16r2="http://schemas.microsoft.com/office/drawing/2015/06/chart">
              <c:ext xmlns:c16="http://schemas.microsoft.com/office/drawing/2014/chart" uri="{C3380CC4-5D6E-409C-BE32-E72D297353CC}">
                <c16:uniqueId val="{00000078-F9DB-4B71-A484-6B17694A376F}"/>
              </c:ext>
            </c:extLst>
          </c:dPt>
          <c:val>
            <c:numRef>
              <c:f>pivots!$S$5:$T$5</c:f>
              <c:numCache>
                <c:formatCode>0%</c:formatCode>
                <c:ptCount val="2"/>
                <c:pt idx="0">
                  <c:v>0.81964958835404711</c:v>
                </c:pt>
                <c:pt idx="1">
                  <c:v>0.18035041164595289</c:v>
                </c:pt>
              </c:numCache>
            </c:numRef>
          </c:val>
          <c:extLst xmlns:c16r2="http://schemas.microsoft.com/office/drawing/2015/06/chart">
            <c:ext xmlns:c16="http://schemas.microsoft.com/office/drawing/2014/chart" uri="{C3380CC4-5D6E-409C-BE32-E72D297353CC}">
              <c16:uniqueId val="{00000079-F9DB-4B71-A484-6B17694A376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statistics dashboard.xlsx]pivots!PivotTable5</c:name>
    <c:fmtId val="3"/>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gradFill>
            <a:gsLst>
              <a:gs pos="23000">
                <a:srgbClr val="3704C8"/>
              </a:gs>
              <a:gs pos="79000">
                <a:srgbClr val="002060"/>
              </a:gs>
            </a:gsLst>
            <a:lin ang="5400000" scaled="1"/>
          </a:gradFill>
          <a:ln w="0">
            <a:solidFill>
              <a:srgbClr val="450BE9"/>
            </a:solidFill>
          </a:ln>
          <a:effectLst/>
        </c:spPr>
        <c:marker>
          <c:symbol val="circle"/>
          <c:size val="5"/>
          <c:spPr>
            <a:gradFill>
              <a:gsLst>
                <a:gs pos="23000">
                  <a:srgbClr val="3704C8"/>
                </a:gs>
                <a:gs pos="79000">
                  <a:srgbClr val="002060"/>
                </a:gs>
              </a:gsLst>
              <a:lin ang="5400000" scaled="1"/>
            </a:gra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a:gsLst>
              <a:gs pos="23000">
                <a:srgbClr val="3704C8"/>
              </a:gs>
              <a:gs pos="79000">
                <a:srgbClr val="002060"/>
              </a:gs>
            </a:gsLst>
            <a:lin ang="5400000" scaled="1"/>
          </a:gradFill>
          <a:ln w="0">
            <a:solidFill>
              <a:srgbClr val="450BE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gradFill>
            <a:gsLst>
              <a:gs pos="0">
                <a:srgbClr val="0C00F4">
                  <a:lumMod val="97000"/>
                </a:srgbClr>
              </a:gs>
              <a:gs pos="78000">
                <a:schemeClr val="tx1"/>
              </a:gs>
            </a:gsLst>
            <a:lin ang="5400000" scaled="1"/>
          </a:gradFill>
          <a:ln w="0">
            <a:noFill/>
          </a:ln>
          <a:effectLst/>
        </c:spPr>
        <c:marker>
          <c:symbol val="none"/>
        </c:marker>
      </c:pivotFmt>
    </c:pivotFmts>
    <c:plotArea>
      <c:layout/>
      <c:areaChart>
        <c:grouping val="standard"/>
        <c:varyColors val="0"/>
        <c:ser>
          <c:idx val="0"/>
          <c:order val="0"/>
          <c:tx>
            <c:strRef>
              <c:f>pivots!$W$4</c:f>
              <c:strCache>
                <c:ptCount val="1"/>
                <c:pt idx="0">
                  <c:v>Sum of Income</c:v>
                </c:pt>
              </c:strCache>
            </c:strRef>
          </c:tx>
          <c:spPr>
            <a:solidFill>
              <a:schemeClr val="accent1"/>
            </a:solidFill>
            <a:ln>
              <a:noFill/>
            </a:ln>
            <a:effectLst/>
          </c:spPr>
          <c:cat>
            <c:strRef>
              <c:f>pivots!$V$5:$V$16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pivots!$W$5:$W$16</c:f>
              <c:numCache>
                <c:formatCode>#,##0</c:formatCode>
                <c:ptCount val="12"/>
                <c:pt idx="0">
                  <c:v>68039</c:v>
                </c:pt>
                <c:pt idx="1">
                  <c:v>103772</c:v>
                </c:pt>
                <c:pt idx="2">
                  <c:v>70105</c:v>
                </c:pt>
                <c:pt idx="3">
                  <c:v>84134</c:v>
                </c:pt>
                <c:pt idx="4">
                  <c:v>49511</c:v>
                </c:pt>
                <c:pt idx="5">
                  <c:v>32165</c:v>
                </c:pt>
                <c:pt idx="6">
                  <c:v>62268</c:v>
                </c:pt>
                <c:pt idx="7">
                  <c:v>66842</c:v>
                </c:pt>
                <c:pt idx="8">
                  <c:v>90725</c:v>
                </c:pt>
                <c:pt idx="9">
                  <c:v>110420</c:v>
                </c:pt>
                <c:pt idx="10">
                  <c:v>28892</c:v>
                </c:pt>
                <c:pt idx="11">
                  <c:v>64632</c:v>
                </c:pt>
              </c:numCache>
            </c:numRef>
          </c:val>
          <c:extLst xmlns:c16r2="http://schemas.microsoft.com/office/drawing/2015/06/chart">
            <c:ext xmlns:c16="http://schemas.microsoft.com/office/drawing/2014/chart" uri="{C3380CC4-5D6E-409C-BE32-E72D297353CC}">
              <c16:uniqueId val="{00000000-FD2D-45B4-BB1D-33650FBA02B7}"/>
            </c:ext>
          </c:extLst>
        </c:ser>
        <c:ser>
          <c:idx val="1"/>
          <c:order val="1"/>
          <c:tx>
            <c:strRef>
              <c:f>pivots!$X$4</c:f>
              <c:strCache>
                <c:ptCount val="1"/>
                <c:pt idx="0">
                  <c:v>Sum of Income2</c:v>
                </c:pt>
              </c:strCache>
            </c:strRef>
          </c:tx>
          <c:spPr>
            <a:gradFill>
              <a:gsLst>
                <a:gs pos="0">
                  <a:srgbClr val="0C00F4">
                    <a:lumMod val="97000"/>
                  </a:srgbClr>
                </a:gs>
                <a:gs pos="78000">
                  <a:schemeClr val="tx1"/>
                </a:gs>
              </a:gsLst>
              <a:lin ang="5400000" scaled="1"/>
            </a:gradFill>
            <a:ln w="0">
              <a:noFill/>
            </a:ln>
            <a:effectLst/>
          </c:spPr>
          <c:cat>
            <c:strRef>
              <c:f>pivots!$V$5:$V$16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pivots!$X$5:$X$16</c:f>
              <c:numCache>
                <c:formatCode>General</c:formatCode>
                <c:ptCount val="12"/>
                <c:pt idx="0">
                  <c:v>68039</c:v>
                </c:pt>
                <c:pt idx="1">
                  <c:v>103772</c:v>
                </c:pt>
                <c:pt idx="2">
                  <c:v>70105</c:v>
                </c:pt>
                <c:pt idx="3">
                  <c:v>84134</c:v>
                </c:pt>
                <c:pt idx="4">
                  <c:v>49511</c:v>
                </c:pt>
                <c:pt idx="5">
                  <c:v>32165</c:v>
                </c:pt>
                <c:pt idx="6">
                  <c:v>62268</c:v>
                </c:pt>
                <c:pt idx="7">
                  <c:v>66842</c:v>
                </c:pt>
                <c:pt idx="8">
                  <c:v>90725</c:v>
                </c:pt>
                <c:pt idx="9">
                  <c:v>110420</c:v>
                </c:pt>
                <c:pt idx="10">
                  <c:v>28892</c:v>
                </c:pt>
                <c:pt idx="11">
                  <c:v>64632</c:v>
                </c:pt>
              </c:numCache>
            </c:numRef>
          </c:val>
          <c:extLst xmlns:c16r2="http://schemas.microsoft.com/office/drawing/2015/06/chart">
            <c:ext xmlns:c16="http://schemas.microsoft.com/office/drawing/2014/chart" uri="{C3380CC4-5D6E-409C-BE32-E72D297353CC}">
              <c16:uniqueId val="{00000001-FD2D-45B4-BB1D-33650FBA02B7}"/>
            </c:ext>
          </c:extLst>
        </c:ser>
        <c:dLbls>
          <c:showLegendKey val="0"/>
          <c:showVal val="0"/>
          <c:showCatName val="0"/>
          <c:showSerName val="0"/>
          <c:showPercent val="0"/>
          <c:showBubbleSize val="0"/>
        </c:dLbls>
        <c:axId val="750924656"/>
        <c:axId val="750918128"/>
      </c:areaChart>
      <c:catAx>
        <c:axId val="7509246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t" anchorCtr="1"/>
          <a:lstStyle/>
          <a:p>
            <a:pPr>
              <a:defRPr sz="800" b="0" i="0" u="none" strike="noStrike" kern="1200" baseline="0">
                <a:ln>
                  <a:noFill/>
                </a:ln>
                <a:solidFill>
                  <a:schemeClr val="bg1"/>
                </a:solidFill>
                <a:latin typeface="+mn-lt"/>
                <a:ea typeface="+mn-ea"/>
                <a:cs typeface="+mn-cs"/>
              </a:defRPr>
            </a:pPr>
            <a:endParaRPr lang="en-US"/>
          </a:p>
        </c:txPr>
        <c:crossAx val="750918128"/>
        <c:crosses val="autoZero"/>
        <c:auto val="1"/>
        <c:lblAlgn val="ctr"/>
        <c:lblOffset val="100"/>
        <c:noMultiLvlLbl val="0"/>
      </c:catAx>
      <c:valAx>
        <c:axId val="750918128"/>
        <c:scaling>
          <c:orientation val="minMax"/>
        </c:scaling>
        <c:delete val="1"/>
        <c:axPos val="l"/>
        <c:numFmt formatCode="#,##0" sourceLinked="1"/>
        <c:majorTickMark val="out"/>
        <c:minorTickMark val="none"/>
        <c:tickLblPos val="nextTo"/>
        <c:crossAx val="75092465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statistics dashboard.xlsx]pivots!PivotTable3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flip="none" rotWithShape="1">
            <a:gsLst>
              <a:gs pos="98000">
                <a:srgbClr val="C240DB">
                  <a:alpha val="75000"/>
                </a:srgbClr>
              </a:gs>
              <a:gs pos="6000">
                <a:srgbClr val="95F3DA"/>
              </a:gs>
            </a:gsLst>
            <a:lin ang="0" scaled="1"/>
            <a:tileRect/>
          </a:gradFill>
          <a:ln>
            <a:noFill/>
          </a:ln>
          <a:effectLst>
            <a:outerShdw blurRad="482600" dist="50800" dir="5400000" algn="ctr" rotWithShape="0">
              <a:srgbClr val="000000">
                <a:alpha val="43137"/>
              </a:srgbClr>
            </a:outerShdw>
          </a:effectLst>
        </c:spPr>
        <c:marker>
          <c:symbol val="none"/>
        </c:marker>
      </c:pivotFmt>
    </c:pivotFmts>
    <c:plotArea>
      <c:layout/>
      <c:barChart>
        <c:barDir val="bar"/>
        <c:grouping val="clustered"/>
        <c:varyColors val="0"/>
        <c:ser>
          <c:idx val="0"/>
          <c:order val="0"/>
          <c:tx>
            <c:strRef>
              <c:f>pivots!$AC$4</c:f>
              <c:strCache>
                <c:ptCount val="1"/>
                <c:pt idx="0">
                  <c:v>Total</c:v>
                </c:pt>
              </c:strCache>
            </c:strRef>
          </c:tx>
          <c:spPr>
            <a:gradFill flip="none" rotWithShape="1">
              <a:gsLst>
                <a:gs pos="98000">
                  <a:srgbClr val="C240DB">
                    <a:alpha val="75000"/>
                  </a:srgbClr>
                </a:gs>
                <a:gs pos="6000">
                  <a:srgbClr val="95F3DA"/>
                </a:gs>
              </a:gsLst>
              <a:lin ang="0" scaled="1"/>
              <a:tileRect/>
            </a:gradFill>
            <a:ln>
              <a:noFill/>
            </a:ln>
            <a:effectLst>
              <a:outerShdw blurRad="482600" dist="50800" dir="5400000" algn="ctr" rotWithShape="0">
                <a:srgbClr val="000000">
                  <a:alpha val="43137"/>
                </a:srgbClr>
              </a:outerShdw>
            </a:effectLst>
          </c:spPr>
          <c:invertIfNegative val="0"/>
          <c:cat>
            <c:strRef>
              <c:f>pivots!$AB$5:$AB$17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pivots!$AC$5:$AC$17</c:f>
              <c:numCache>
                <c:formatCode>#,##0</c:formatCode>
                <c:ptCount val="12"/>
                <c:pt idx="0">
                  <c:v>13117</c:v>
                </c:pt>
                <c:pt idx="1">
                  <c:v>24899</c:v>
                </c:pt>
                <c:pt idx="2">
                  <c:v>15810</c:v>
                </c:pt>
                <c:pt idx="3">
                  <c:v>22147</c:v>
                </c:pt>
                <c:pt idx="4">
                  <c:v>14925</c:v>
                </c:pt>
                <c:pt idx="5">
                  <c:v>13824</c:v>
                </c:pt>
                <c:pt idx="6">
                  <c:v>18742</c:v>
                </c:pt>
                <c:pt idx="7">
                  <c:v>23466</c:v>
                </c:pt>
                <c:pt idx="8">
                  <c:v>19194</c:v>
                </c:pt>
                <c:pt idx="9">
                  <c:v>26230</c:v>
                </c:pt>
                <c:pt idx="10">
                  <c:v>7952</c:v>
                </c:pt>
                <c:pt idx="11">
                  <c:v>28805</c:v>
                </c:pt>
              </c:numCache>
            </c:numRef>
          </c:val>
          <c:extLst xmlns:c16r2="http://schemas.microsoft.com/office/drawing/2015/06/chart">
            <c:ext xmlns:c16="http://schemas.microsoft.com/office/drawing/2014/chart" uri="{C3380CC4-5D6E-409C-BE32-E72D297353CC}">
              <c16:uniqueId val="{00000000-2F07-4FFF-AD89-66B931AD2358}"/>
            </c:ext>
          </c:extLst>
        </c:ser>
        <c:dLbls>
          <c:showLegendKey val="0"/>
          <c:showVal val="0"/>
          <c:showCatName val="0"/>
          <c:showSerName val="0"/>
          <c:showPercent val="0"/>
          <c:showBubbleSize val="0"/>
        </c:dLbls>
        <c:gapWidth val="230"/>
        <c:axId val="750918672"/>
        <c:axId val="750919760"/>
      </c:barChart>
      <c:catAx>
        <c:axId val="75091867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0919760"/>
        <c:crosses val="autoZero"/>
        <c:auto val="1"/>
        <c:lblAlgn val="ctr"/>
        <c:lblOffset val="100"/>
        <c:noMultiLvlLbl val="0"/>
      </c:catAx>
      <c:valAx>
        <c:axId val="750919760"/>
        <c:scaling>
          <c:orientation val="minMax"/>
        </c:scaling>
        <c:delete val="1"/>
        <c:axPos val="t"/>
        <c:numFmt formatCode="#,##0" sourceLinked="1"/>
        <c:majorTickMark val="none"/>
        <c:minorTickMark val="none"/>
        <c:tickLblPos val="nextTo"/>
        <c:crossAx val="7509186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statistics dashboard.xlsx]pivots!PivotTable2</c:name>
    <c:fmtId val="1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noFill/>
          <a:ln w="19050">
            <a:noFill/>
          </a:ln>
          <a:effectLst/>
        </c:spPr>
        <c:marker>
          <c:symbol val="none"/>
        </c:marker>
      </c:pivotFmt>
      <c:pivotFmt>
        <c:idx val="9"/>
        <c:spPr>
          <a:noFill/>
          <a:ln w="19050">
            <a:noFill/>
          </a:ln>
          <a:effectLst/>
        </c:spPr>
      </c:pivotFmt>
      <c:pivotFmt>
        <c:idx val="10"/>
        <c:spPr>
          <a:noFill/>
          <a:ln w="19050">
            <a:noFill/>
          </a:ln>
          <a:effectLst/>
        </c:spPr>
      </c:pivotFmt>
      <c:pivotFmt>
        <c:idx val="11"/>
        <c:spPr>
          <a:solidFill>
            <a:schemeClr val="accent1"/>
          </a:solidFill>
          <a:ln w="19050">
            <a:noFill/>
          </a:ln>
          <a:effectLst/>
        </c:spPr>
        <c:marker>
          <c:symbol val="none"/>
        </c:marker>
      </c:pivotFmt>
      <c:pivotFmt>
        <c:idx val="12"/>
        <c:spPr>
          <a:solidFill>
            <a:srgbClr val="95F3DA"/>
          </a:solidFill>
          <a:ln w="19050">
            <a:noFill/>
          </a:ln>
          <a:effectLst/>
        </c:spPr>
      </c:pivotFmt>
      <c:pivotFmt>
        <c:idx val="13"/>
        <c:spPr>
          <a:solidFill>
            <a:srgbClr val="0C00F4"/>
          </a:solidFill>
          <a:ln w="19050">
            <a:noFill/>
          </a:ln>
          <a:effectLst/>
        </c:spPr>
      </c:pivotFmt>
    </c:pivotFmts>
    <c:plotArea>
      <c:layout>
        <c:manualLayout>
          <c:layoutTarget val="inner"/>
          <c:xMode val="edge"/>
          <c:yMode val="edge"/>
          <c:x val="0.11324024496937883"/>
          <c:y val="0.16179168393424506"/>
          <c:w val="0.79210249649372966"/>
          <c:h val="0.79487179487179482"/>
        </c:manualLayout>
      </c:layout>
      <c:doughnutChart>
        <c:varyColors val="1"/>
        <c:ser>
          <c:idx val="0"/>
          <c:order val="0"/>
          <c:tx>
            <c:strRef>
              <c:f>pivots!$AH$4</c:f>
              <c:strCache>
                <c:ptCount val="1"/>
                <c:pt idx="0">
                  <c:v>Sum of Income</c:v>
                </c:pt>
              </c:strCache>
            </c:strRef>
          </c:tx>
          <c:spPr>
            <a:noFill/>
            <a:ln>
              <a:noFill/>
            </a:ln>
          </c:spPr>
          <c:dPt>
            <c:idx val="0"/>
            <c:bubble3D val="0"/>
            <c:spPr>
              <a:noFill/>
              <a:ln w="19050">
                <a:noFill/>
              </a:ln>
              <a:effectLst/>
            </c:spPr>
            <c:extLst xmlns:c16r2="http://schemas.microsoft.com/office/drawing/2015/06/chart">
              <c:ext xmlns:c16="http://schemas.microsoft.com/office/drawing/2014/chart" uri="{C3380CC4-5D6E-409C-BE32-E72D297353CC}">
                <c16:uniqueId val="{00000001-7EC5-470B-A52C-8B17E13B1232}"/>
              </c:ext>
            </c:extLst>
          </c:dPt>
          <c:dPt>
            <c:idx val="1"/>
            <c:bubble3D val="0"/>
            <c:spPr>
              <a:noFill/>
              <a:ln w="19050">
                <a:noFill/>
              </a:ln>
              <a:effectLst/>
            </c:spPr>
            <c:extLst xmlns:c16r2="http://schemas.microsoft.com/office/drawing/2015/06/chart">
              <c:ext xmlns:c16="http://schemas.microsoft.com/office/drawing/2014/chart" uri="{C3380CC4-5D6E-409C-BE32-E72D297353CC}">
                <c16:uniqueId val="{00000003-7EC5-470B-A52C-8B17E13B1232}"/>
              </c:ext>
            </c:extLst>
          </c:dPt>
          <c:cat>
            <c:strRef>
              <c:f>pivots!$AG$5:$AG$7</c:f>
              <c:strCache>
                <c:ptCount val="2"/>
                <c:pt idx="0">
                  <c:v>B2B</c:v>
                </c:pt>
                <c:pt idx="1">
                  <c:v>B2C</c:v>
                </c:pt>
              </c:strCache>
            </c:strRef>
          </c:cat>
          <c:val>
            <c:numRef>
              <c:f>pivots!$AH$5:$AH$7</c:f>
              <c:numCache>
                <c:formatCode>#,##0</c:formatCode>
                <c:ptCount val="2"/>
                <c:pt idx="0">
                  <c:v>262044</c:v>
                </c:pt>
                <c:pt idx="1">
                  <c:v>309808</c:v>
                </c:pt>
              </c:numCache>
            </c:numRef>
          </c:val>
          <c:extLst xmlns:c16r2="http://schemas.microsoft.com/office/drawing/2015/06/chart">
            <c:ext xmlns:c16="http://schemas.microsoft.com/office/drawing/2014/chart" uri="{C3380CC4-5D6E-409C-BE32-E72D297353CC}">
              <c16:uniqueId val="{00000004-7EC5-470B-A52C-8B17E13B1232}"/>
            </c:ext>
          </c:extLst>
        </c:ser>
        <c:ser>
          <c:idx val="1"/>
          <c:order val="1"/>
          <c:tx>
            <c:strRef>
              <c:f>pivots!$AI$4</c:f>
              <c:strCache>
                <c:ptCount val="1"/>
                <c:pt idx="0">
                  <c:v>profit%</c:v>
                </c:pt>
              </c:strCache>
            </c:strRef>
          </c:tx>
          <c:spPr>
            <a:ln>
              <a:noFill/>
            </a:ln>
          </c:spPr>
          <c:dPt>
            <c:idx val="0"/>
            <c:bubble3D val="0"/>
            <c:spPr>
              <a:solidFill>
                <a:srgbClr val="95F3DA"/>
              </a:solidFill>
              <a:ln w="19050">
                <a:noFill/>
              </a:ln>
              <a:effectLst/>
            </c:spPr>
            <c:extLst xmlns:c16r2="http://schemas.microsoft.com/office/drawing/2015/06/chart">
              <c:ext xmlns:c16="http://schemas.microsoft.com/office/drawing/2014/chart" uri="{C3380CC4-5D6E-409C-BE32-E72D297353CC}">
                <c16:uniqueId val="{00000006-7EC5-470B-A52C-8B17E13B1232}"/>
              </c:ext>
            </c:extLst>
          </c:dPt>
          <c:dPt>
            <c:idx val="1"/>
            <c:bubble3D val="0"/>
            <c:spPr>
              <a:solidFill>
                <a:srgbClr val="0C00F4"/>
              </a:solidFill>
              <a:ln w="19050">
                <a:noFill/>
              </a:ln>
              <a:effectLst/>
            </c:spPr>
            <c:extLst xmlns:c16r2="http://schemas.microsoft.com/office/drawing/2015/06/chart">
              <c:ext xmlns:c16="http://schemas.microsoft.com/office/drawing/2014/chart" uri="{C3380CC4-5D6E-409C-BE32-E72D297353CC}">
                <c16:uniqueId val="{00000008-7EC5-470B-A52C-8B17E13B1232}"/>
              </c:ext>
            </c:extLst>
          </c:dPt>
          <c:cat>
            <c:strRef>
              <c:f>pivots!$AG$5:$AG$7</c:f>
              <c:strCache>
                <c:ptCount val="2"/>
                <c:pt idx="0">
                  <c:v>B2B</c:v>
                </c:pt>
                <c:pt idx="1">
                  <c:v>B2C</c:v>
                </c:pt>
              </c:strCache>
            </c:strRef>
          </c:cat>
          <c:val>
            <c:numRef>
              <c:f>pivots!$AI$5:$AI$7</c:f>
              <c:numCache>
                <c:formatCode>0.00%</c:formatCode>
                <c:ptCount val="2"/>
                <c:pt idx="0">
                  <c:v>0.45823744605247513</c:v>
                </c:pt>
                <c:pt idx="1">
                  <c:v>0.54176255394752493</c:v>
                </c:pt>
              </c:numCache>
            </c:numRef>
          </c:val>
          <c:extLst xmlns:c16r2="http://schemas.microsoft.com/office/drawing/2015/06/chart">
            <c:ext xmlns:c16="http://schemas.microsoft.com/office/drawing/2014/chart" uri="{C3380CC4-5D6E-409C-BE32-E72D297353CC}">
              <c16:uniqueId val="{00000009-7EC5-470B-A52C-8B17E13B123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6.1111111111111109E-2"/>
          <c:w val="0.97222222222222221"/>
          <c:h val="0.93888888888888888"/>
        </c:manualLayout>
      </c:layout>
      <c:bubbleChart>
        <c:varyColors val="0"/>
        <c:ser>
          <c:idx val="0"/>
          <c:order val="0"/>
          <c:tx>
            <c:v>income sources</c:v>
          </c:tx>
          <c:spPr>
            <a:solidFill>
              <a:schemeClr val="accent1"/>
            </a:solidFill>
            <a:ln w="25400">
              <a:noFill/>
            </a:ln>
            <a:effectLst/>
          </c:spPr>
          <c:invertIfNegative val="0"/>
          <c:yVal>
            <c:numRef>
              <c:f>pivots!$I$4:$I$9</c:f>
              <c:numCache>
                <c:formatCode>General</c:formatCode>
                <c:ptCount val="6"/>
                <c:pt idx="0">
                  <c:v>3</c:v>
                </c:pt>
                <c:pt idx="1">
                  <c:v>2</c:v>
                </c:pt>
                <c:pt idx="2">
                  <c:v>1</c:v>
                </c:pt>
                <c:pt idx="3">
                  <c:v>8</c:v>
                </c:pt>
                <c:pt idx="4">
                  <c:v>6</c:v>
                </c:pt>
                <c:pt idx="5">
                  <c:v>9</c:v>
                </c:pt>
              </c:numCache>
            </c:numRef>
          </c:yVal>
          <c:bubbleSize>
            <c:numLit>
              <c:formatCode>General</c:formatCode>
              <c:ptCount val="6"/>
              <c:pt idx="0">
                <c:v>1</c:v>
              </c:pt>
              <c:pt idx="1">
                <c:v>1</c:v>
              </c:pt>
              <c:pt idx="2">
                <c:v>1</c:v>
              </c:pt>
              <c:pt idx="3">
                <c:v>1</c:v>
              </c:pt>
              <c:pt idx="4">
                <c:v>1</c:v>
              </c:pt>
              <c:pt idx="5">
                <c:v>1</c:v>
              </c:pt>
            </c:numLit>
          </c:bubbleSize>
          <c:bubble3D val="0"/>
          <c:extLst xmlns:c16r2="http://schemas.microsoft.com/office/drawing/2015/06/chart">
            <c:ext xmlns:c16="http://schemas.microsoft.com/office/drawing/2014/chart" uri="{C3380CC4-5D6E-409C-BE32-E72D297353CC}">
              <c16:uniqueId val="{00000000-8272-4843-A2CA-AC4AA59FBCB3}"/>
            </c:ext>
          </c:extLst>
        </c:ser>
        <c:ser>
          <c:idx val="1"/>
          <c:order val="1"/>
          <c:spPr>
            <a:gradFill flip="none" rotWithShape="1">
              <a:gsLst>
                <a:gs pos="24000">
                  <a:srgbClr val="3704C8"/>
                </a:gs>
                <a:gs pos="80000">
                  <a:srgbClr val="7417BD"/>
                </a:gs>
              </a:gsLst>
              <a:path path="circle">
                <a:fillToRect l="100000" t="100000"/>
              </a:path>
              <a:tileRect r="-100000" b="-100000"/>
            </a:gradFill>
            <a:ln w="25400">
              <a:noFill/>
            </a:ln>
            <a:effectLst>
              <a:outerShdw blurRad="127000" sx="104000" sy="104000" algn="ctr" rotWithShape="0">
                <a:srgbClr val="7417BD">
                  <a:alpha val="56000"/>
                </a:srgbClr>
              </a:outerShdw>
            </a:effectLst>
          </c:spPr>
          <c:invertIfNegative val="0"/>
          <c:dLbls>
            <c:dLbl>
              <c:idx val="0"/>
              <c:layout/>
              <c:tx>
                <c:rich>
                  <a:bodyPr/>
                  <a:lstStyle/>
                  <a:p>
                    <a:fld id="{F03F296F-A24C-4BED-BACE-D0919B7F5C2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1"/>
              <c:layout/>
              <c:tx>
                <c:rich>
                  <a:bodyPr/>
                  <a:lstStyle/>
                  <a:p>
                    <a:fld id="{BE7A362C-174B-464F-888C-AB7DB9DA5A2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2"/>
              <c:layout/>
              <c:tx>
                <c:rich>
                  <a:bodyPr/>
                  <a:lstStyle/>
                  <a:p>
                    <a:fld id="{6946AD2A-D9E2-44EA-8C96-2049DBD33EF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3"/>
              <c:layout/>
              <c:tx>
                <c:rich>
                  <a:bodyPr/>
                  <a:lstStyle/>
                  <a:p>
                    <a:fld id="{C2DA046D-0583-4183-8BCE-808006B53FB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4"/>
              <c:layout/>
              <c:tx>
                <c:rich>
                  <a:bodyPr/>
                  <a:lstStyle/>
                  <a:p>
                    <a:fld id="{96B64A14-619D-4ADD-B3F9-782230CBB32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5"/>
              <c:layout/>
              <c:tx>
                <c:rich>
                  <a:bodyPr/>
                  <a:lstStyle/>
                  <a:p>
                    <a:fld id="{2D99E582-D3FF-4198-A992-DDC056B7613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xmlns:c16r2="http://schemas.microsoft.com/office/drawing/2015/06/chart">
              <c:ext xmlns:c15="http://schemas.microsoft.com/office/drawing/2012/chart" uri="{CE6537A1-D6FC-4f65-9D91-7224C49458BB}">
                <c15:layout/>
                <c15:showDataLabelsRange val="1"/>
                <c15:showLeaderLines val="1"/>
                <c15:leaderLines>
                  <c:spPr>
                    <a:ln w="9525" cap="flat" cmpd="sng" algn="ctr">
                      <a:solidFill>
                        <a:schemeClr val="tx1">
                          <a:lumMod val="35000"/>
                          <a:lumOff val="65000"/>
                        </a:schemeClr>
                      </a:solidFill>
                      <a:round/>
                    </a:ln>
                    <a:effectLst/>
                  </c:spPr>
                </c15:leaderLines>
              </c:ext>
            </c:extLst>
          </c:dLbls>
          <c:xVal>
            <c:numRef>
              <c:f>pivots!$H$4:$H$9</c:f>
              <c:numCache>
                <c:formatCode>General</c:formatCode>
                <c:ptCount val="6"/>
                <c:pt idx="0">
                  <c:v>1</c:v>
                </c:pt>
                <c:pt idx="1">
                  <c:v>7</c:v>
                </c:pt>
                <c:pt idx="2">
                  <c:v>4</c:v>
                </c:pt>
                <c:pt idx="3">
                  <c:v>2</c:v>
                </c:pt>
                <c:pt idx="4">
                  <c:v>6</c:v>
                </c:pt>
                <c:pt idx="5">
                  <c:v>5</c:v>
                </c:pt>
              </c:numCache>
            </c:numRef>
          </c:xVal>
          <c:yVal>
            <c:numRef>
              <c:f>pivots!$I$4:$I$9</c:f>
              <c:numCache>
                <c:formatCode>General</c:formatCode>
                <c:ptCount val="6"/>
                <c:pt idx="0">
                  <c:v>3</c:v>
                </c:pt>
                <c:pt idx="1">
                  <c:v>2</c:v>
                </c:pt>
                <c:pt idx="2">
                  <c:v>1</c:v>
                </c:pt>
                <c:pt idx="3">
                  <c:v>8</c:v>
                </c:pt>
                <c:pt idx="4">
                  <c:v>6</c:v>
                </c:pt>
                <c:pt idx="5">
                  <c:v>9</c:v>
                </c:pt>
              </c:numCache>
            </c:numRef>
          </c:yVal>
          <c:bubbleSize>
            <c:numRef>
              <c:f>pivots!$J$4:$J$9</c:f>
              <c:numCache>
                <c:formatCode>General</c:formatCode>
                <c:ptCount val="6"/>
                <c:pt idx="0">
                  <c:v>155043</c:v>
                </c:pt>
                <c:pt idx="1">
                  <c:v>123638</c:v>
                </c:pt>
                <c:pt idx="2">
                  <c:v>141331</c:v>
                </c:pt>
                <c:pt idx="3">
                  <c:v>155344</c:v>
                </c:pt>
                <c:pt idx="4">
                  <c:v>132528</c:v>
                </c:pt>
                <c:pt idx="5">
                  <c:v>123621</c:v>
                </c:pt>
              </c:numCache>
            </c:numRef>
          </c:bubbleSize>
          <c:bubble3D val="0"/>
          <c:extLst xmlns:c16r2="http://schemas.microsoft.com/office/drawing/2015/06/chart">
            <c:ext xmlns:c16="http://schemas.microsoft.com/office/drawing/2014/chart" uri="{C3380CC4-5D6E-409C-BE32-E72D297353CC}">
              <c16:uniqueId val="{00000007-8272-4843-A2CA-AC4AA59FBCB3}"/>
            </c:ext>
            <c:ext xmlns:c15="http://schemas.microsoft.com/office/drawing/2012/chart" uri="{02D57815-91ED-43cb-92C2-25804820EDAC}">
              <c15:datalabelsRange>
                <c15:f>pivots!$L$4:$L$9</c15:f>
                <c15:dlblRangeCache>
                  <c:ptCount val="6"/>
                  <c:pt idx="0">
                    <c:v>155043</c:v>
                  </c:pt>
                  <c:pt idx="1">
                    <c:v>123638</c:v>
                  </c:pt>
                  <c:pt idx="2">
                    <c:v>141331</c:v>
                  </c:pt>
                  <c:pt idx="4">
                    <c:v>132528</c:v>
                  </c:pt>
                  <c:pt idx="5">
                    <c:v>123621</c:v>
                  </c:pt>
                </c15:dlblRangeCache>
              </c15:datalabelsRange>
            </c:ext>
          </c:extLst>
        </c:ser>
        <c:ser>
          <c:idx val="2"/>
          <c:order val="2"/>
          <c:tx>
            <c:v>max</c:v>
          </c:tx>
          <c:spPr>
            <a:gradFill flip="none" rotWithShape="1">
              <a:gsLst>
                <a:gs pos="12000">
                  <a:srgbClr val="D01158"/>
                </a:gs>
                <a:gs pos="87000">
                  <a:srgbClr val="3704C8"/>
                </a:gs>
              </a:gsLst>
              <a:path path="circle">
                <a:fillToRect t="100000" r="100000"/>
              </a:path>
              <a:tileRect l="-100000" b="-100000"/>
            </a:gradFill>
            <a:ln w="25400">
              <a:noFill/>
            </a:ln>
            <a:effectLst>
              <a:outerShdw blurRad="101600" sx="104000" sy="104000" algn="ctr" rotWithShape="0">
                <a:srgbClr val="D01158">
                  <a:alpha val="51000"/>
                </a:srgbClr>
              </a:outerShdw>
            </a:effectLst>
          </c:spPr>
          <c:invertIfNegative val="0"/>
          <c:dLbls>
            <c:dLbl>
              <c:idx val="0"/>
              <c:tx>
                <c:rich>
                  <a:bodyPr/>
                  <a:lstStyle/>
                  <a:p>
                    <a:fld id="{9B0FE248-5F3E-4AB1-BBDD-022ACF8A8CA2}" type="CELLRANGE">
                      <a:rPr lang="en-US"/>
                      <a:pPr/>
                      <a:t>[CELLRANGE]</a:t>
                    </a:fld>
                    <a:endParaRPr lang="en-US"/>
                  </a:p>
                </c:rich>
              </c:tx>
              <c:dLblPos val="ctr"/>
              <c:showLegendKey val="0"/>
              <c:showVal val="0"/>
              <c:showCatName val="0"/>
              <c:showSerName val="0"/>
              <c:showPercent val="0"/>
              <c:showBubbleSize val="0"/>
              <c:extLst xmlns:c16r2="http://schemas.microsoft.com/office/drawing/2015/06/chart">
                <c:ext xmlns:c16="http://schemas.microsoft.com/office/drawing/2014/chart" uri="{C3380CC4-5D6E-409C-BE32-E72D297353CC}">
                  <c16:uniqueId val="{00000008-8272-4843-A2CA-AC4AA59FBCB3}"/>
                </c:ext>
                <c:ext xmlns:c15="http://schemas.microsoft.com/office/drawing/2012/chart" uri="{CE6537A1-D6FC-4f65-9D91-7224C49458BB}">
                  <c15:dlblFieldTable/>
                  <c15:showDataLabelsRange val="1"/>
                </c:ext>
              </c:extLst>
            </c:dLbl>
            <c:dLbl>
              <c:idx val="1"/>
              <c:layout/>
              <c:tx>
                <c:rich>
                  <a:bodyPr/>
                  <a:lstStyle/>
                  <a:p>
                    <a:fld id="{44EDCE45-63FA-40E6-A9A0-48D7E3D5B41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2"/>
              <c:layout/>
              <c:tx>
                <c:rich>
                  <a:bodyPr/>
                  <a:lstStyle/>
                  <a:p>
                    <a:fld id="{C04B6633-E2B1-4B97-B848-30D7A06CDAB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3"/>
              <c:layout/>
              <c:tx>
                <c:rich>
                  <a:bodyPr/>
                  <a:lstStyle/>
                  <a:p>
                    <a:fld id="{AECA4803-DC2A-4203-9D71-6A17170A0C3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4"/>
              <c:layout/>
              <c:tx>
                <c:rich>
                  <a:bodyPr/>
                  <a:lstStyle/>
                  <a:p>
                    <a:fld id="{24F342AF-9857-4129-9B1B-9A12F63B39A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5"/>
              <c:layout/>
              <c:tx>
                <c:rich>
                  <a:bodyPr/>
                  <a:lstStyle/>
                  <a:p>
                    <a:fld id="{666CDDC2-154B-49BB-A736-3D436BBA765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0"/>
            <c:showBubbleSize val="0"/>
            <c:showLeaderLines val="0"/>
            <c:extLst xmlns:c16r2="http://schemas.microsoft.com/office/drawing/2015/06/chart">
              <c:ext xmlns:c15="http://schemas.microsoft.com/office/drawing/2012/chart" uri="{CE6537A1-D6FC-4f65-9D91-7224C49458BB}">
                <c15:layout/>
                <c15:showDataLabelsRange val="1"/>
                <c15:showLeaderLines val="0"/>
              </c:ext>
            </c:extLst>
          </c:dLbls>
          <c:xVal>
            <c:numRef>
              <c:f>pivots!$H$4:$H$9</c:f>
              <c:numCache>
                <c:formatCode>General</c:formatCode>
                <c:ptCount val="6"/>
                <c:pt idx="0">
                  <c:v>1</c:v>
                </c:pt>
                <c:pt idx="1">
                  <c:v>7</c:v>
                </c:pt>
                <c:pt idx="2">
                  <c:v>4</c:v>
                </c:pt>
                <c:pt idx="3">
                  <c:v>2</c:v>
                </c:pt>
                <c:pt idx="4">
                  <c:v>6</c:v>
                </c:pt>
                <c:pt idx="5">
                  <c:v>5</c:v>
                </c:pt>
              </c:numCache>
            </c:numRef>
          </c:xVal>
          <c:yVal>
            <c:numRef>
              <c:f>pivots!$I$4:$I$9</c:f>
              <c:numCache>
                <c:formatCode>General</c:formatCode>
                <c:ptCount val="6"/>
                <c:pt idx="0">
                  <c:v>3</c:v>
                </c:pt>
                <c:pt idx="1">
                  <c:v>2</c:v>
                </c:pt>
                <c:pt idx="2">
                  <c:v>1</c:v>
                </c:pt>
                <c:pt idx="3">
                  <c:v>8</c:v>
                </c:pt>
                <c:pt idx="4">
                  <c:v>6</c:v>
                </c:pt>
                <c:pt idx="5">
                  <c:v>9</c:v>
                </c:pt>
              </c:numCache>
            </c:numRef>
          </c:yVal>
          <c:bubbleSize>
            <c:numRef>
              <c:f>pivots!$K$4:$K$9</c:f>
              <c:numCache>
                <c:formatCode>General</c:formatCode>
                <c:ptCount val="6"/>
                <c:pt idx="0">
                  <c:v>0</c:v>
                </c:pt>
                <c:pt idx="1">
                  <c:v>0</c:v>
                </c:pt>
                <c:pt idx="2">
                  <c:v>0</c:v>
                </c:pt>
                <c:pt idx="3">
                  <c:v>155344</c:v>
                </c:pt>
                <c:pt idx="4">
                  <c:v>0</c:v>
                </c:pt>
                <c:pt idx="5">
                  <c:v>0</c:v>
                </c:pt>
              </c:numCache>
            </c:numRef>
          </c:bubbleSize>
          <c:bubble3D val="0"/>
          <c:extLst xmlns:c16r2="http://schemas.microsoft.com/office/drawing/2015/06/chart">
            <c:ext xmlns:c16="http://schemas.microsoft.com/office/drawing/2014/chart" uri="{C3380CC4-5D6E-409C-BE32-E72D297353CC}">
              <c16:uniqueId val="{0000000E-8272-4843-A2CA-AC4AA59FBCB3}"/>
            </c:ext>
            <c:ext xmlns:c15="http://schemas.microsoft.com/office/drawing/2012/chart" uri="{02D57815-91ED-43cb-92C2-25804820EDAC}">
              <c15:datalabelsRange>
                <c15:f>pivots!$K$4:$K$9</c15:f>
                <c15:dlblRangeCache>
                  <c:ptCount val="6"/>
                  <c:pt idx="3">
                    <c:v>155344</c:v>
                  </c:pt>
                </c15:dlblRangeCache>
              </c15:datalabelsRange>
            </c:ext>
          </c:extLst>
        </c:ser>
        <c:dLbls>
          <c:showLegendKey val="0"/>
          <c:showVal val="0"/>
          <c:showCatName val="0"/>
          <c:showSerName val="0"/>
          <c:showPercent val="0"/>
          <c:showBubbleSize val="0"/>
        </c:dLbls>
        <c:bubbleScale val="70"/>
        <c:showNegBubbles val="0"/>
        <c:axId val="750925744"/>
        <c:axId val="750927376"/>
      </c:bubbleChart>
      <c:valAx>
        <c:axId val="750925744"/>
        <c:scaling>
          <c:orientation val="minMax"/>
          <c:max val="10"/>
          <c:min val="0"/>
        </c:scaling>
        <c:delete val="1"/>
        <c:axPos val="b"/>
        <c:numFmt formatCode="General" sourceLinked="1"/>
        <c:majorTickMark val="none"/>
        <c:minorTickMark val="none"/>
        <c:tickLblPos val="nextTo"/>
        <c:crossAx val="750927376"/>
        <c:crosses val="autoZero"/>
        <c:crossBetween val="midCat"/>
        <c:majorUnit val="1"/>
      </c:valAx>
      <c:valAx>
        <c:axId val="750927376"/>
        <c:scaling>
          <c:orientation val="minMax"/>
          <c:max val="10"/>
          <c:min val="0"/>
        </c:scaling>
        <c:delete val="1"/>
        <c:axPos val="l"/>
        <c:numFmt formatCode="General" sourceLinked="1"/>
        <c:majorTickMark val="none"/>
        <c:minorTickMark val="none"/>
        <c:tickLblPos val="nextTo"/>
        <c:crossAx val="750925744"/>
        <c:crosses val="autoZero"/>
        <c:crossBetween val="midCat"/>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5.xml"/><Relationship Id="rId3" Type="http://schemas.openxmlformats.org/officeDocument/2006/relationships/hyperlink" Target="#'Income sources'!A1"/><Relationship Id="rId7" Type="http://schemas.openxmlformats.org/officeDocument/2006/relationships/hyperlink" Target="http://www.other-level's.com" TargetMode="External"/><Relationship Id="rId12" Type="http://schemas.openxmlformats.org/officeDocument/2006/relationships/chart" Target="../charts/chart4.xml"/><Relationship Id="rId2" Type="http://schemas.openxmlformats.org/officeDocument/2006/relationships/hyperlink" Target="#'Project status'!A1"/><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3.xml"/><Relationship Id="rId5" Type="http://schemas.openxmlformats.org/officeDocument/2006/relationships/hyperlink" Target="#Geography!A1"/><Relationship Id="rId10" Type="http://schemas.openxmlformats.org/officeDocument/2006/relationships/chart" Target="../charts/chart2.xml"/><Relationship Id="rId4" Type="http://schemas.openxmlformats.org/officeDocument/2006/relationships/hyperlink" Target="#'Sales proccess'!A1"/><Relationship Id="rId9"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141</xdr:row>
      <xdr:rowOff>0</xdr:rowOff>
    </xdr:from>
    <xdr:to>
      <xdr:col>7</xdr:col>
      <xdr:colOff>266700</xdr:colOff>
      <xdr:row>154</xdr:row>
      <xdr:rowOff>171450</xdr:rowOff>
    </xdr:to>
    <mc:AlternateContent xmlns:mc="http://schemas.openxmlformats.org/markup-compatibility/2006" xmlns:a14="http://schemas.microsoft.com/office/drawing/2010/main">
      <mc:Choice Requires="a14">
        <xdr:graphicFrame macro="">
          <xdr:nvGraphicFramePr>
            <xdr:cNvPr id="5" name="Income sources 1">
              <a:extLst>
                <a:ext uri="{FF2B5EF4-FFF2-40B4-BE49-F238E27FC236}">
                  <a16:creationId xmlns:a16="http://schemas.microsoft.com/office/drawing/2014/main" xmlns="" id="{C94202CB-7530-44BC-ABF6-EE8025D12EEF}"/>
                </a:ext>
              </a:extLst>
            </xdr:cNvPr>
            <xdr:cNvGraphicFramePr/>
          </xdr:nvGraphicFramePr>
          <xdr:xfrm>
            <a:off x="0" y="0"/>
            <a:ext cx="0" cy="0"/>
          </xdr:xfrm>
          <a:graphic>
            <a:graphicData uri="http://schemas.microsoft.com/office/drawing/2010/slicer">
              <sle:slicer xmlns:sle="http://schemas.microsoft.com/office/drawing/2010/slicer" name="Income sources 1"/>
            </a:graphicData>
          </a:graphic>
        </xdr:graphicFrame>
      </mc:Choice>
      <mc:Fallback xmlns="">
        <xdr:sp macro="" textlink="">
          <xdr:nvSpPr>
            <xdr:cNvPr id="0" name=""/>
            <xdr:cNvSpPr>
              <a:spLocks noTextEdit="1"/>
            </xdr:cNvSpPr>
          </xdr:nvSpPr>
          <xdr:spPr>
            <a:xfrm>
              <a:off x="6019800" y="25546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190500</xdr:colOff>
      <xdr:row>8</xdr:row>
      <xdr:rowOff>95250</xdr:rowOff>
    </xdr:from>
    <xdr:to>
      <xdr:col>12</xdr:col>
      <xdr:colOff>276225</xdr:colOff>
      <xdr:row>24</xdr:row>
      <xdr:rowOff>114301</xdr:rowOff>
    </xdr:to>
    <xdr:graphicFrame macro="">
      <xdr:nvGraphicFramePr>
        <xdr:cNvPr id="96" name="Chart 95">
          <a:extLst>
            <a:ext uri="{FF2B5EF4-FFF2-40B4-BE49-F238E27FC236}">
              <a16:creationId xmlns:a16="http://schemas.microsoft.com/office/drawing/2014/main" xmlns="" id="{746C20A1-7021-449C-BBB5-C4ED922F1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20</xdr:col>
      <xdr:colOff>381000</xdr:colOff>
      <xdr:row>2</xdr:row>
      <xdr:rowOff>38100</xdr:rowOff>
    </xdr:to>
    <xdr:grpSp>
      <xdr:nvGrpSpPr>
        <xdr:cNvPr id="8" name="Group 7">
          <a:extLst>
            <a:ext uri="{FF2B5EF4-FFF2-40B4-BE49-F238E27FC236}">
              <a16:creationId xmlns:a16="http://schemas.microsoft.com/office/drawing/2014/main" xmlns="" id="{9B6E6897-AF21-4CDC-8051-41F271AC87DD}"/>
            </a:ext>
          </a:extLst>
        </xdr:cNvPr>
        <xdr:cNvGrpSpPr/>
      </xdr:nvGrpSpPr>
      <xdr:grpSpPr>
        <a:xfrm>
          <a:off x="0" y="0"/>
          <a:ext cx="14139333" cy="397933"/>
          <a:chOff x="0" y="0"/>
          <a:chExt cx="14097000" cy="400050"/>
        </a:xfrm>
      </xdr:grpSpPr>
      <xdr:grpSp>
        <xdr:nvGrpSpPr>
          <xdr:cNvPr id="3" name="Group 2">
            <a:extLst>
              <a:ext uri="{FF2B5EF4-FFF2-40B4-BE49-F238E27FC236}">
                <a16:creationId xmlns:a16="http://schemas.microsoft.com/office/drawing/2014/main" xmlns="" id="{120352D5-3B01-4B4C-929C-44847F85D2A8}"/>
              </a:ext>
            </a:extLst>
          </xdr:cNvPr>
          <xdr:cNvGrpSpPr/>
        </xdr:nvGrpSpPr>
        <xdr:grpSpPr>
          <a:xfrm>
            <a:off x="0" y="0"/>
            <a:ext cx="14097000" cy="400050"/>
            <a:chOff x="0" y="0"/>
            <a:chExt cx="14097000" cy="400050"/>
          </a:xfrm>
        </xdr:grpSpPr>
        <xdr:sp macro="" textlink="">
          <xdr:nvSpPr>
            <xdr:cNvPr id="2" name="Rectangle 1">
              <a:extLst>
                <a:ext uri="{FF2B5EF4-FFF2-40B4-BE49-F238E27FC236}">
                  <a16:creationId xmlns:a16="http://schemas.microsoft.com/office/drawing/2014/main" xmlns="" id="{EDAAF4FE-9161-4CC7-A508-BD9842629FD8}"/>
                </a:ext>
              </a:extLst>
            </xdr:cNvPr>
            <xdr:cNvSpPr/>
          </xdr:nvSpPr>
          <xdr:spPr>
            <a:xfrm>
              <a:off x="0" y="0"/>
              <a:ext cx="14097000" cy="400050"/>
            </a:xfrm>
            <a:prstGeom prst="rect">
              <a:avLst/>
            </a:prstGeom>
            <a:solidFill>
              <a:srgbClr val="1D1D3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0"/>
            </a:p>
          </xdr:txBody>
        </xdr:sp>
        <xdr:sp macro="" textlink="">
          <xdr:nvSpPr>
            <xdr:cNvPr id="7" name="Rectangle 6">
              <a:extLst>
                <a:ext uri="{FF2B5EF4-FFF2-40B4-BE49-F238E27FC236}">
                  <a16:creationId xmlns:a16="http://schemas.microsoft.com/office/drawing/2014/main" xmlns="" id="{1D42D19A-2881-427A-9325-9F500C2EA363}"/>
                </a:ext>
              </a:extLst>
            </xdr:cNvPr>
            <xdr:cNvSpPr/>
          </xdr:nvSpPr>
          <xdr:spPr>
            <a:xfrm>
              <a:off x="371475" y="28575"/>
              <a:ext cx="1390650" cy="323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1">
                  <a:solidFill>
                    <a:schemeClr val="bg1"/>
                  </a:solidFill>
                  <a:latin typeface="+mn-lt"/>
                  <a:ea typeface="+mn-ea"/>
                  <a:cs typeface="+mn-cs"/>
                </a:rPr>
                <a:t>Other</a:t>
              </a:r>
              <a:r>
                <a:rPr lang="en-US" sz="1100" b="1" i="1" baseline="0">
                  <a:solidFill>
                    <a:schemeClr val="bg1"/>
                  </a:solidFill>
                  <a:latin typeface="+mn-lt"/>
                  <a:ea typeface="+mn-ea"/>
                  <a:cs typeface="+mn-cs"/>
                </a:rPr>
                <a:t> level's</a:t>
              </a:r>
              <a:endParaRPr lang="en-US" sz="1100" b="1" i="1">
                <a:solidFill>
                  <a:schemeClr val="bg1"/>
                </a:solidFill>
                <a:latin typeface="+mn-lt"/>
                <a:ea typeface="+mn-ea"/>
                <a:cs typeface="+mn-cs"/>
              </a:endParaRPr>
            </a:p>
          </xdr:txBody>
        </xdr:sp>
        <xdr:sp macro="" textlink="">
          <xdr:nvSpPr>
            <xdr:cNvPr id="10" name="Rectangle 9">
              <a:hlinkClick xmlns:r="http://schemas.openxmlformats.org/officeDocument/2006/relationships" r:id="rId2" tooltip="Project status"/>
              <a:extLst>
                <a:ext uri="{FF2B5EF4-FFF2-40B4-BE49-F238E27FC236}">
                  <a16:creationId xmlns:a16="http://schemas.microsoft.com/office/drawing/2014/main" xmlns="" id="{3D99655C-003C-4DF3-9FDF-D96DFA7EA20C}"/>
                </a:ext>
              </a:extLst>
            </xdr:cNvPr>
            <xdr:cNvSpPr/>
          </xdr:nvSpPr>
          <xdr:spPr>
            <a:xfrm>
              <a:off x="10077450" y="38100"/>
              <a:ext cx="1390650"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1"/>
                <a:t>Project</a:t>
              </a:r>
              <a:r>
                <a:rPr lang="en-US" sz="1100" b="0" i="1" baseline="0"/>
                <a:t> status</a:t>
              </a:r>
              <a:endParaRPr lang="en-US" sz="1100" b="0" i="1"/>
            </a:p>
          </xdr:txBody>
        </xdr:sp>
        <xdr:sp macro="" textlink="">
          <xdr:nvSpPr>
            <xdr:cNvPr id="18" name="Rectangle 17">
              <a:hlinkClick xmlns:r="http://schemas.openxmlformats.org/officeDocument/2006/relationships" r:id="rId3" tooltip="Income sources"/>
              <a:extLst>
                <a:ext uri="{FF2B5EF4-FFF2-40B4-BE49-F238E27FC236}">
                  <a16:creationId xmlns:a16="http://schemas.microsoft.com/office/drawing/2014/main" xmlns="" id="{10D09390-81D1-4F11-BECB-FF48999191A5}"/>
                </a:ext>
              </a:extLst>
            </xdr:cNvPr>
            <xdr:cNvSpPr/>
          </xdr:nvSpPr>
          <xdr:spPr>
            <a:xfrm>
              <a:off x="8334375" y="28575"/>
              <a:ext cx="1181100"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1"/>
                <a:t>Income</a:t>
              </a:r>
              <a:r>
                <a:rPr lang="en-US" sz="1100" b="0" i="1" baseline="0"/>
                <a:t> sources</a:t>
              </a:r>
              <a:endParaRPr lang="en-US" sz="1100" b="0" i="1"/>
            </a:p>
          </xdr:txBody>
        </xdr:sp>
        <xdr:sp macro="" textlink="">
          <xdr:nvSpPr>
            <xdr:cNvPr id="19" name="Rectangle 18">
              <a:hlinkClick xmlns:r="http://schemas.openxmlformats.org/officeDocument/2006/relationships" r:id="rId4" tooltip="Sales process"/>
              <a:extLst>
                <a:ext uri="{FF2B5EF4-FFF2-40B4-BE49-F238E27FC236}">
                  <a16:creationId xmlns:a16="http://schemas.microsoft.com/office/drawing/2014/main" xmlns="" id="{5BA1CDC3-F17E-44C6-8101-2E45782E5152}"/>
                </a:ext>
              </a:extLst>
            </xdr:cNvPr>
            <xdr:cNvSpPr/>
          </xdr:nvSpPr>
          <xdr:spPr>
            <a:xfrm>
              <a:off x="11049000" y="38100"/>
              <a:ext cx="1390650"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1"/>
                <a:t>Sales</a:t>
              </a:r>
              <a:r>
                <a:rPr lang="en-US" sz="1100" b="0" i="1" baseline="0"/>
                <a:t> proccess</a:t>
              </a:r>
              <a:endParaRPr lang="en-US" sz="1100" b="0" i="1"/>
            </a:p>
          </xdr:txBody>
        </xdr:sp>
        <xdr:sp macro="" textlink="">
          <xdr:nvSpPr>
            <xdr:cNvPr id="20" name="Rectangle 19">
              <a:hlinkClick xmlns:r="http://schemas.openxmlformats.org/officeDocument/2006/relationships" r:id="rId5" tooltip="Geography"/>
              <a:extLst>
                <a:ext uri="{FF2B5EF4-FFF2-40B4-BE49-F238E27FC236}">
                  <a16:creationId xmlns:a16="http://schemas.microsoft.com/office/drawing/2014/main" xmlns="" id="{0FBB7096-1878-43C6-A356-53337FC1DBFD}"/>
                </a:ext>
              </a:extLst>
            </xdr:cNvPr>
            <xdr:cNvSpPr/>
          </xdr:nvSpPr>
          <xdr:spPr>
            <a:xfrm>
              <a:off x="9191625" y="19050"/>
              <a:ext cx="1390650"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1"/>
                <a:t>Geography</a:t>
              </a:r>
            </a:p>
          </xdr:txBody>
        </xdr:sp>
        <xdr:pic>
          <xdr:nvPicPr>
            <xdr:cNvPr id="4" name="Picture 3">
              <a:extLst>
                <a:ext uri="{FF2B5EF4-FFF2-40B4-BE49-F238E27FC236}">
                  <a16:creationId xmlns:a16="http://schemas.microsoft.com/office/drawing/2014/main" xmlns="" id="{7BCA935A-973A-4A23-BCD8-5E9E61769D7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7626" y="0"/>
              <a:ext cx="381000" cy="381000"/>
            </a:xfrm>
            <a:prstGeom prst="rect">
              <a:avLst/>
            </a:prstGeom>
          </xdr:spPr>
        </xdr:pic>
        <xdr:sp macro="" textlink="">
          <xdr:nvSpPr>
            <xdr:cNvPr id="5" name="TextBox 4">
              <a:hlinkClick xmlns:r="http://schemas.openxmlformats.org/officeDocument/2006/relationships" r:id="rId7" tooltip="http://www.other-level's.com"/>
              <a:extLst>
                <a:ext uri="{FF2B5EF4-FFF2-40B4-BE49-F238E27FC236}">
                  <a16:creationId xmlns:a16="http://schemas.microsoft.com/office/drawing/2014/main" xmlns="" id="{B37EA8DD-530B-4B01-9DF7-A013ECAAF22D}"/>
                </a:ext>
              </a:extLst>
            </xdr:cNvPr>
            <xdr:cNvSpPr txBox="1"/>
          </xdr:nvSpPr>
          <xdr:spPr>
            <a:xfrm>
              <a:off x="3990976" y="38100"/>
              <a:ext cx="1219200"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1">
                  <a:solidFill>
                    <a:schemeClr val="bg1"/>
                  </a:solidFill>
                </a:rPr>
                <a:t>Browse</a:t>
              </a:r>
            </a:p>
          </xdr:txBody>
        </xdr:sp>
        <xdr:pic>
          <xdr:nvPicPr>
            <xdr:cNvPr id="11" name="Graphic 10" descr="Magnifying glass with solid fill">
              <a:extLst>
                <a:ext uri="{FF2B5EF4-FFF2-40B4-BE49-F238E27FC236}">
                  <a16:creationId xmlns:a16="http://schemas.microsoft.com/office/drawing/2014/main" xmlns="" id="{09A0C7BA-1B48-40C2-B4B0-28281BA2831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xmlns="" r:embed="rId9"/>
                </a:ext>
              </a:extLst>
            </a:blip>
            <a:stretch>
              <a:fillRect/>
            </a:stretch>
          </xdr:blipFill>
          <xdr:spPr>
            <a:xfrm>
              <a:off x="3819526" y="57150"/>
              <a:ext cx="285749" cy="285749"/>
            </a:xfrm>
            <a:prstGeom prst="rect">
              <a:avLst/>
            </a:prstGeom>
          </xdr:spPr>
        </xdr:pic>
      </xdr:grpSp>
      <xdr:sp macro="" textlink="">
        <xdr:nvSpPr>
          <xdr:cNvPr id="6" name="TextBox 5">
            <a:extLst>
              <a:ext uri="{FF2B5EF4-FFF2-40B4-BE49-F238E27FC236}">
                <a16:creationId xmlns:a16="http://schemas.microsoft.com/office/drawing/2014/main" xmlns="" id="{2D8C0AAD-C672-4D6D-B0C5-EDD96E07558C}"/>
              </a:ext>
            </a:extLst>
          </xdr:cNvPr>
          <xdr:cNvSpPr txBox="1"/>
        </xdr:nvSpPr>
        <xdr:spPr>
          <a:xfrm>
            <a:off x="8486775" y="266700"/>
            <a:ext cx="274320" cy="45720"/>
          </a:xfrm>
          <a:prstGeom prst="rect">
            <a:avLst/>
          </a:prstGeom>
          <a:solidFill>
            <a:srgbClr val="194AF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grpSp>
    <xdr:clientData/>
  </xdr:twoCellAnchor>
  <xdr:twoCellAnchor>
    <xdr:from>
      <xdr:col>0</xdr:col>
      <xdr:colOff>379941</xdr:colOff>
      <xdr:row>3</xdr:row>
      <xdr:rowOff>120649</xdr:rowOff>
    </xdr:from>
    <xdr:to>
      <xdr:col>2</xdr:col>
      <xdr:colOff>284690</xdr:colOff>
      <xdr:row>5</xdr:row>
      <xdr:rowOff>38100</xdr:rowOff>
    </xdr:to>
    <xdr:sp macro="" textlink="">
      <xdr:nvSpPr>
        <xdr:cNvPr id="14" name="TextBox 13">
          <a:extLst>
            <a:ext uri="{FF2B5EF4-FFF2-40B4-BE49-F238E27FC236}">
              <a16:creationId xmlns:a16="http://schemas.microsoft.com/office/drawing/2014/main" xmlns="" id="{DA5C9C06-5AC8-4431-A3EE-3C9BE762A22E}"/>
            </a:ext>
          </a:extLst>
        </xdr:cNvPr>
        <xdr:cNvSpPr txBox="1"/>
      </xdr:nvSpPr>
      <xdr:spPr>
        <a:xfrm>
          <a:off x="379941" y="660399"/>
          <a:ext cx="1280582" cy="340784"/>
        </a:xfrm>
        <a:prstGeom prst="roundRect">
          <a:avLst>
            <a:gd name="adj" fmla="val 48667"/>
          </a:avLst>
        </a:prstGeom>
        <a:solidFill>
          <a:srgbClr val="194AF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Income Sources</a:t>
          </a:r>
          <a:r>
            <a:rPr lang="en-US" sz="1100"/>
            <a:t>	</a:t>
          </a:r>
        </a:p>
      </xdr:txBody>
    </xdr:sp>
    <xdr:clientData/>
  </xdr:twoCellAnchor>
  <xdr:twoCellAnchor>
    <xdr:from>
      <xdr:col>0</xdr:col>
      <xdr:colOff>302684</xdr:colOff>
      <xdr:row>5</xdr:row>
      <xdr:rowOff>104776</xdr:rowOff>
    </xdr:from>
    <xdr:to>
      <xdr:col>4</xdr:col>
      <xdr:colOff>397934</xdr:colOff>
      <xdr:row>10</xdr:row>
      <xdr:rowOff>142875</xdr:rowOff>
    </xdr:to>
    <xdr:sp macro="" textlink="">
      <xdr:nvSpPr>
        <xdr:cNvPr id="12" name="Rectangle 11">
          <a:extLst>
            <a:ext uri="{FF2B5EF4-FFF2-40B4-BE49-F238E27FC236}">
              <a16:creationId xmlns:a16="http://schemas.microsoft.com/office/drawing/2014/main" xmlns="" id="{60D4704E-07D1-4847-ADA8-214EBCE4F1EE}"/>
            </a:ext>
          </a:extLst>
        </xdr:cNvPr>
        <xdr:cNvSpPr/>
      </xdr:nvSpPr>
      <xdr:spPr>
        <a:xfrm>
          <a:off x="302684" y="1067859"/>
          <a:ext cx="2846917" cy="9376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Grand</a:t>
          </a:r>
          <a:r>
            <a:rPr lang="en-US" sz="1100" baseline="0"/>
            <a:t> total of income ,and their breakdowns showing their acheivement  percentage, and highlight for most valuable sources,marketing strategies and operating profit </a:t>
          </a:r>
          <a:endParaRPr lang="en-US" sz="1100"/>
        </a:p>
      </xdr:txBody>
    </xdr:sp>
    <xdr:clientData/>
  </xdr:twoCellAnchor>
  <xdr:twoCellAnchor editAs="oneCell">
    <xdr:from>
      <xdr:col>0</xdr:col>
      <xdr:colOff>237065</xdr:colOff>
      <xdr:row>10</xdr:row>
      <xdr:rowOff>142874</xdr:rowOff>
    </xdr:from>
    <xdr:to>
      <xdr:col>5</xdr:col>
      <xdr:colOff>151342</xdr:colOff>
      <xdr:row>13</xdr:row>
      <xdr:rowOff>48683</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xmlns="" id="{9FE24858-DA36-45AE-8CB4-EF0F5DF947F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7065" y="2005541"/>
              <a:ext cx="3353860" cy="445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262467</xdr:colOff>
      <xdr:row>12</xdr:row>
      <xdr:rowOff>177799</xdr:rowOff>
    </xdr:from>
    <xdr:to>
      <xdr:col>4</xdr:col>
      <xdr:colOff>52917</xdr:colOff>
      <xdr:row>19</xdr:row>
      <xdr:rowOff>121708</xdr:rowOff>
    </xdr:to>
    <xdr:grpSp>
      <xdr:nvGrpSpPr>
        <xdr:cNvPr id="9" name="Group 8">
          <a:extLst>
            <a:ext uri="{FF2B5EF4-FFF2-40B4-BE49-F238E27FC236}">
              <a16:creationId xmlns:a16="http://schemas.microsoft.com/office/drawing/2014/main" xmlns="" id="{5A868F0E-35F7-4DDE-8D4A-658D8D71EBD5}"/>
            </a:ext>
          </a:extLst>
        </xdr:cNvPr>
        <xdr:cNvGrpSpPr/>
      </xdr:nvGrpSpPr>
      <xdr:grpSpPr>
        <a:xfrm>
          <a:off x="262467" y="2400299"/>
          <a:ext cx="2542117" cy="1203326"/>
          <a:chOff x="0" y="2790824"/>
          <a:chExt cx="2390776" cy="1209676"/>
        </a:xfrm>
      </xdr:grpSpPr>
      <xdr:sp macro="" textlink="">
        <xdr:nvSpPr>
          <xdr:cNvPr id="17" name="TextBox 16">
            <a:extLst>
              <a:ext uri="{FF2B5EF4-FFF2-40B4-BE49-F238E27FC236}">
                <a16:creationId xmlns:a16="http://schemas.microsoft.com/office/drawing/2014/main" xmlns="" id="{0EE05D66-8026-4C48-8C21-FACE78D1D6E8}"/>
              </a:ext>
            </a:extLst>
          </xdr:cNvPr>
          <xdr:cNvSpPr txBox="1"/>
        </xdr:nvSpPr>
        <xdr:spPr>
          <a:xfrm>
            <a:off x="28574" y="2790824"/>
            <a:ext cx="2333625" cy="65722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a:solidFill>
                  <a:schemeClr val="bg1"/>
                </a:solidFill>
                <a:latin typeface="+mj-lt"/>
              </a:rPr>
              <a:t>Financial</a:t>
            </a:r>
            <a:r>
              <a:rPr lang="en-US" sz="1800" baseline="0">
                <a:solidFill>
                  <a:schemeClr val="bg1"/>
                </a:solidFill>
                <a:latin typeface="+mj-lt"/>
              </a:rPr>
              <a:t> </a:t>
            </a:r>
            <a:r>
              <a:rPr lang="en-US" sz="1800" baseline="0">
                <a:solidFill>
                  <a:schemeClr val="bg1"/>
                </a:solidFill>
                <a:latin typeface="+mj-lt"/>
                <a:cs typeface="Arial" panose="020B0604020202020204" pitchFamily="34" charset="0"/>
              </a:rPr>
              <a:t>Statistics</a:t>
            </a:r>
            <a:endParaRPr lang="en-US" sz="1800">
              <a:latin typeface="+mj-lt"/>
              <a:cs typeface="Arial" panose="020B0604020202020204" pitchFamily="34" charset="0"/>
            </a:endParaRPr>
          </a:p>
        </xdr:txBody>
      </xdr:sp>
      <xdr:sp macro="" textlink="pivots!Q5">
        <xdr:nvSpPr>
          <xdr:cNvPr id="24" name="TextBox 23">
            <a:extLst>
              <a:ext uri="{FF2B5EF4-FFF2-40B4-BE49-F238E27FC236}">
                <a16:creationId xmlns:a16="http://schemas.microsoft.com/office/drawing/2014/main" xmlns="" id="{4C0A5FF8-9B1E-401B-8ABF-1A18CC0707B0}"/>
              </a:ext>
            </a:extLst>
          </xdr:cNvPr>
          <xdr:cNvSpPr txBox="1"/>
        </xdr:nvSpPr>
        <xdr:spPr>
          <a:xfrm>
            <a:off x="28575" y="3038475"/>
            <a:ext cx="1971675" cy="65722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80B16F4-BF73-4F8B-95E8-110BB49ED3A5}" type="TxLink">
              <a:rPr lang="en-US" sz="3200" b="0" i="0" u="none" strike="noStrike">
                <a:solidFill>
                  <a:schemeClr val="bg1"/>
                </a:solidFill>
                <a:latin typeface="+mj-lt"/>
                <a:cs typeface="Arial" panose="020B0604020202020204" pitchFamily="34" charset="0"/>
              </a:rPr>
              <a:pPr algn="l"/>
              <a:t>1,014,464</a:t>
            </a:fld>
            <a:endParaRPr lang="en-US" sz="3200">
              <a:solidFill>
                <a:schemeClr val="bg1"/>
              </a:solidFill>
              <a:latin typeface="+mj-lt"/>
              <a:cs typeface="Arial" panose="020B0604020202020204" pitchFamily="34" charset="0"/>
            </a:endParaRPr>
          </a:p>
        </xdr:txBody>
      </xdr:sp>
      <xdr:sp macro="" textlink="">
        <xdr:nvSpPr>
          <xdr:cNvPr id="25" name="TextBox 24">
            <a:extLst>
              <a:ext uri="{FF2B5EF4-FFF2-40B4-BE49-F238E27FC236}">
                <a16:creationId xmlns:a16="http://schemas.microsoft.com/office/drawing/2014/main" xmlns="" id="{053265BF-B551-4812-B589-6E9086F0AF74}"/>
              </a:ext>
            </a:extLst>
          </xdr:cNvPr>
          <xdr:cNvSpPr txBox="1"/>
        </xdr:nvSpPr>
        <xdr:spPr>
          <a:xfrm>
            <a:off x="0" y="3495675"/>
            <a:ext cx="1390651" cy="50482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bg1"/>
                </a:solidFill>
              </a:rPr>
              <a:t>Income</a:t>
            </a:r>
            <a:r>
              <a:rPr lang="en-US" sz="1800" baseline="0">
                <a:solidFill>
                  <a:schemeClr val="bg1"/>
                </a:solidFill>
              </a:rPr>
              <a:t> </a:t>
            </a:r>
            <a:r>
              <a:rPr lang="en-US" sz="1200" baseline="0">
                <a:solidFill>
                  <a:schemeClr val="bg1"/>
                </a:solidFill>
              </a:rPr>
              <a:t>Target</a:t>
            </a:r>
            <a:endParaRPr lang="en-US" sz="1200"/>
          </a:p>
        </xdr:txBody>
      </xdr:sp>
      <xdr:sp macro="" textlink="pivots!P5">
        <xdr:nvSpPr>
          <xdr:cNvPr id="26" name="TextBox 25">
            <a:extLst>
              <a:ext uri="{FF2B5EF4-FFF2-40B4-BE49-F238E27FC236}">
                <a16:creationId xmlns:a16="http://schemas.microsoft.com/office/drawing/2014/main" xmlns="" id="{9677DAD3-7C3F-480E-A9BB-97FEEF97388B}"/>
              </a:ext>
            </a:extLst>
          </xdr:cNvPr>
          <xdr:cNvSpPr txBox="1"/>
        </xdr:nvSpPr>
        <xdr:spPr>
          <a:xfrm>
            <a:off x="1076326" y="3600451"/>
            <a:ext cx="1314450" cy="361950"/>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B4E2ACE-3127-461E-B947-CFAB8D6B5F1F}" type="TxLink">
              <a:rPr lang="en-US" sz="1100" b="0" i="0" u="none" strike="noStrike">
                <a:solidFill>
                  <a:schemeClr val="bg1"/>
                </a:solidFill>
                <a:latin typeface="Avenir "/>
              </a:rPr>
              <a:pPr algn="l"/>
              <a:t>831,505</a:t>
            </a:fld>
            <a:endParaRPr lang="en-US" sz="1800">
              <a:solidFill>
                <a:schemeClr val="bg1"/>
              </a:solidFill>
            </a:endParaRPr>
          </a:p>
        </xdr:txBody>
      </xdr:sp>
    </xdr:grpSp>
    <xdr:clientData/>
  </xdr:twoCellAnchor>
  <xdr:twoCellAnchor>
    <xdr:from>
      <xdr:col>0</xdr:col>
      <xdr:colOff>0</xdr:colOff>
      <xdr:row>18</xdr:row>
      <xdr:rowOff>35983</xdr:rowOff>
    </xdr:from>
    <xdr:to>
      <xdr:col>3</xdr:col>
      <xdr:colOff>476251</xdr:colOff>
      <xdr:row>22</xdr:row>
      <xdr:rowOff>93133</xdr:rowOff>
    </xdr:to>
    <xdr:graphicFrame macro="">
      <xdr:nvGraphicFramePr>
        <xdr:cNvPr id="30" name="Chart 29">
          <a:extLst>
            <a:ext uri="{FF2B5EF4-FFF2-40B4-BE49-F238E27FC236}">
              <a16:creationId xmlns:a16="http://schemas.microsoft.com/office/drawing/2014/main" xmlns="" id="{8040EDBD-4834-49D8-9350-4561E2517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204258</xdr:colOff>
      <xdr:row>22</xdr:row>
      <xdr:rowOff>55033</xdr:rowOff>
    </xdr:from>
    <xdr:to>
      <xdr:col>4</xdr:col>
      <xdr:colOff>251883</xdr:colOff>
      <xdr:row>24</xdr:row>
      <xdr:rowOff>130175</xdr:rowOff>
    </xdr:to>
    <xdr:sp macro="" textlink="">
      <xdr:nvSpPr>
        <xdr:cNvPr id="34" name="TextBox 33">
          <a:extLst>
            <a:ext uri="{FF2B5EF4-FFF2-40B4-BE49-F238E27FC236}">
              <a16:creationId xmlns:a16="http://schemas.microsoft.com/office/drawing/2014/main" xmlns="" id="{71C30228-03D7-422C-9ACF-52F5DBC05101}"/>
            </a:ext>
          </a:extLst>
        </xdr:cNvPr>
        <xdr:cNvSpPr txBox="1"/>
      </xdr:nvSpPr>
      <xdr:spPr>
        <a:xfrm>
          <a:off x="204258" y="4076700"/>
          <a:ext cx="2799292" cy="4349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0" i="0" u="none" strike="noStrike">
              <a:solidFill>
                <a:schemeClr val="bg1"/>
              </a:solidFill>
              <a:latin typeface="Arial" panose="020B0604020202020204" pitchFamily="34" charset="0"/>
              <a:cs typeface="Arial" panose="020B0604020202020204" pitchFamily="34" charset="0"/>
            </a:rPr>
            <a:t>Quantity of</a:t>
          </a:r>
          <a:r>
            <a:rPr lang="en-US" sz="1800" b="0" i="0" u="none" strike="noStrike" baseline="0">
              <a:solidFill>
                <a:schemeClr val="bg1"/>
              </a:solidFill>
              <a:latin typeface="Arial" panose="020B0604020202020204" pitchFamily="34" charset="0"/>
              <a:cs typeface="Arial" panose="020B0604020202020204" pitchFamily="34" charset="0"/>
            </a:rPr>
            <a:t> item's</a:t>
          </a:r>
          <a:endParaRPr lang="en-US" sz="1800" b="0" i="0" u="none" strike="noStrike">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100540</xdr:colOff>
      <xdr:row>22</xdr:row>
      <xdr:rowOff>133349</xdr:rowOff>
    </xdr:from>
    <xdr:to>
      <xdr:col>0</xdr:col>
      <xdr:colOff>510116</xdr:colOff>
      <xdr:row>26</xdr:row>
      <xdr:rowOff>0</xdr:rowOff>
    </xdr:to>
    <xdr:sp macro="" textlink="pivots!G4">
      <xdr:nvSpPr>
        <xdr:cNvPr id="126" name="TextBox 125">
          <a:extLst>
            <a:ext uri="{FF2B5EF4-FFF2-40B4-BE49-F238E27FC236}">
              <a16:creationId xmlns:a16="http://schemas.microsoft.com/office/drawing/2014/main" xmlns="" id="{BA32BC4D-ED7C-421F-B388-3195AEA78366}"/>
            </a:ext>
          </a:extLst>
        </xdr:cNvPr>
        <xdr:cNvSpPr txBox="1"/>
      </xdr:nvSpPr>
      <xdr:spPr>
        <a:xfrm>
          <a:off x="100540" y="4155016"/>
          <a:ext cx="409576" cy="586317"/>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rgbClr val="D01158"/>
              </a:solidFill>
              <a:latin typeface="Times New Roman" panose="02020603050405020304" pitchFamily="18" charset="0"/>
              <a:cs typeface="Times New Roman" panose="02020603050405020304" pitchFamily="18" charset="0"/>
            </a:rPr>
            <a:t>.</a:t>
          </a:r>
          <a:endParaRPr lang="en-US" sz="4000" b="0" i="0" u="none" strike="noStrike">
            <a:solidFill>
              <a:srgbClr val="D01158"/>
            </a:solidFill>
            <a:latin typeface="Avenir "/>
            <a:cs typeface="Arial" panose="020B0604020202020204" pitchFamily="34" charset="0"/>
          </a:endParaRPr>
        </a:p>
      </xdr:txBody>
    </xdr:sp>
    <xdr:clientData/>
  </xdr:twoCellAnchor>
  <xdr:twoCellAnchor>
    <xdr:from>
      <xdr:col>0</xdr:col>
      <xdr:colOff>96376</xdr:colOff>
      <xdr:row>23</xdr:row>
      <xdr:rowOff>172510</xdr:rowOff>
    </xdr:from>
    <xdr:to>
      <xdr:col>4</xdr:col>
      <xdr:colOff>541189</xdr:colOff>
      <xdr:row>36</xdr:row>
      <xdr:rowOff>58210</xdr:rowOff>
    </xdr:to>
    <xdr:grpSp>
      <xdr:nvGrpSpPr>
        <xdr:cNvPr id="133" name="Group 132">
          <a:extLst>
            <a:ext uri="{FF2B5EF4-FFF2-40B4-BE49-F238E27FC236}">
              <a16:creationId xmlns:a16="http://schemas.microsoft.com/office/drawing/2014/main" xmlns="" id="{D734E9B4-2531-4408-B326-8EEE7C622AA0}"/>
            </a:ext>
          </a:extLst>
        </xdr:cNvPr>
        <xdr:cNvGrpSpPr/>
      </xdr:nvGrpSpPr>
      <xdr:grpSpPr>
        <a:xfrm>
          <a:off x="96376" y="4374093"/>
          <a:ext cx="3196480" cy="2224617"/>
          <a:chOff x="12798" y="5067300"/>
          <a:chExt cx="3187982" cy="2238375"/>
        </a:xfrm>
      </xdr:grpSpPr>
      <xdr:grpSp>
        <xdr:nvGrpSpPr>
          <xdr:cNvPr id="47" name="Group 46">
            <a:extLst>
              <a:ext uri="{FF2B5EF4-FFF2-40B4-BE49-F238E27FC236}">
                <a16:creationId xmlns:a16="http://schemas.microsoft.com/office/drawing/2014/main" xmlns="" id="{DBB3C379-FA44-4FD3-BCAA-CF823F5CE578}"/>
              </a:ext>
            </a:extLst>
          </xdr:cNvPr>
          <xdr:cNvGrpSpPr/>
        </xdr:nvGrpSpPr>
        <xdr:grpSpPr>
          <a:xfrm>
            <a:off x="205359" y="5105399"/>
            <a:ext cx="1143380" cy="2200276"/>
            <a:chOff x="205359" y="5105399"/>
            <a:chExt cx="1143380" cy="2200276"/>
          </a:xfrm>
        </xdr:grpSpPr>
        <xdr:sp macro="" textlink="pivots!G4">
          <xdr:nvSpPr>
            <xdr:cNvPr id="40" name="TextBox 39">
              <a:extLst>
                <a:ext uri="{FF2B5EF4-FFF2-40B4-BE49-F238E27FC236}">
                  <a16:creationId xmlns:a16="http://schemas.microsoft.com/office/drawing/2014/main" xmlns="" id="{C05E9DD3-7B91-4B24-83FD-3B10EF7872D0}"/>
                </a:ext>
              </a:extLst>
            </xdr:cNvPr>
            <xdr:cNvSpPr txBox="1"/>
          </xdr:nvSpPr>
          <xdr:spPr>
            <a:xfrm>
              <a:off x="222885" y="5105399"/>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FA20C2-76AB-4C07-88D5-391530FFB386}" type="TxLink">
                <a:rPr lang="en-US" sz="1100" b="0" i="0" u="none" strike="noStrike">
                  <a:solidFill>
                    <a:schemeClr val="bg1"/>
                  </a:solidFill>
                  <a:latin typeface="Avenir "/>
                  <a:cs typeface="Arial" panose="020B0604020202020204" pitchFamily="34" charset="0"/>
                </a:rPr>
                <a:pPr algn="l"/>
                <a:t>Advertising</a:t>
              </a:fld>
              <a:endParaRPr lang="en-US" sz="1600" b="0" i="0" u="none" strike="noStrike">
                <a:solidFill>
                  <a:schemeClr val="bg1"/>
                </a:solidFill>
                <a:latin typeface="Avenir "/>
                <a:cs typeface="Arial" panose="020B0604020202020204" pitchFamily="34" charset="0"/>
              </a:endParaRPr>
            </a:p>
          </xdr:txBody>
        </xdr:sp>
        <xdr:sp macro="" textlink="pivots!G5">
          <xdr:nvSpPr>
            <xdr:cNvPr id="41" name="TextBox 40">
              <a:extLst>
                <a:ext uri="{FF2B5EF4-FFF2-40B4-BE49-F238E27FC236}">
                  <a16:creationId xmlns:a16="http://schemas.microsoft.com/office/drawing/2014/main" xmlns="" id="{906FB468-9D81-45A5-99A1-367292F8B00C}"/>
                </a:ext>
              </a:extLst>
            </xdr:cNvPr>
            <xdr:cNvSpPr txBox="1"/>
          </xdr:nvSpPr>
          <xdr:spPr>
            <a:xfrm>
              <a:off x="223647" y="5486400"/>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EB8C277-1539-45CD-89D7-24EB554D282E}" type="TxLink">
                <a:rPr lang="en-US" sz="1100" b="0" i="0" u="none" strike="noStrike">
                  <a:solidFill>
                    <a:schemeClr val="bg1"/>
                  </a:solidFill>
                  <a:latin typeface="Avenir "/>
                  <a:ea typeface="+mn-ea"/>
                  <a:cs typeface="Arial" panose="020B0604020202020204" pitchFamily="34" charset="0"/>
                </a:rPr>
                <a:pPr marL="0" indent="0" algn="l"/>
                <a:t>Asset sale</a:t>
              </a:fld>
              <a:endParaRPr lang="en-US" sz="1100" b="0" i="0" u="none" strike="noStrike">
                <a:solidFill>
                  <a:schemeClr val="bg1"/>
                </a:solidFill>
                <a:latin typeface="Avenir "/>
                <a:ea typeface="+mn-ea"/>
                <a:cs typeface="Arial" panose="020B0604020202020204" pitchFamily="34" charset="0"/>
              </a:endParaRPr>
            </a:p>
          </xdr:txBody>
        </xdr:sp>
        <xdr:sp macro="" textlink="pivots!G6">
          <xdr:nvSpPr>
            <xdr:cNvPr id="42" name="TextBox 41">
              <a:extLst>
                <a:ext uri="{FF2B5EF4-FFF2-40B4-BE49-F238E27FC236}">
                  <a16:creationId xmlns:a16="http://schemas.microsoft.com/office/drawing/2014/main" xmlns="" id="{34E27BD8-26E4-4248-BCC7-0FD219DC0F08}"/>
                </a:ext>
              </a:extLst>
            </xdr:cNvPr>
            <xdr:cNvSpPr txBox="1"/>
          </xdr:nvSpPr>
          <xdr:spPr>
            <a:xfrm>
              <a:off x="224028" y="5838825"/>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A99C3E3-BF8C-4A3F-9D72-AAE64987812F}" type="TxLink">
                <a:rPr lang="en-US" sz="1100" b="0" i="0" u="none" strike="noStrike">
                  <a:solidFill>
                    <a:schemeClr val="bg1"/>
                  </a:solidFill>
                  <a:latin typeface="Avenir "/>
                  <a:ea typeface="+mn-ea"/>
                  <a:cs typeface="Arial" panose="020B0604020202020204" pitchFamily="34" charset="0"/>
                </a:rPr>
                <a:pPr marL="0" indent="0" algn="l"/>
                <a:t>Licensing</a:t>
              </a:fld>
              <a:endParaRPr lang="en-US" sz="1100" b="0" i="0" u="none" strike="noStrike">
                <a:solidFill>
                  <a:schemeClr val="bg1"/>
                </a:solidFill>
                <a:latin typeface="Avenir "/>
                <a:ea typeface="+mn-ea"/>
                <a:cs typeface="Arial" panose="020B0604020202020204" pitchFamily="34" charset="0"/>
              </a:endParaRPr>
            </a:p>
          </xdr:txBody>
        </xdr:sp>
        <xdr:sp macro="" textlink="pivots!G7">
          <xdr:nvSpPr>
            <xdr:cNvPr id="43" name="TextBox 42">
              <a:extLst>
                <a:ext uri="{FF2B5EF4-FFF2-40B4-BE49-F238E27FC236}">
                  <a16:creationId xmlns:a16="http://schemas.microsoft.com/office/drawing/2014/main" xmlns="" id="{511A6682-682C-4839-8950-032D66E9D77C}"/>
                </a:ext>
              </a:extLst>
            </xdr:cNvPr>
            <xdr:cNvSpPr txBox="1"/>
          </xdr:nvSpPr>
          <xdr:spPr>
            <a:xfrm>
              <a:off x="213741" y="6200775"/>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FF890B-D420-4E4D-AE97-649671C31213}" type="TxLink">
                <a:rPr lang="en-US" sz="1100" b="0" i="0" u="none" strike="noStrike">
                  <a:solidFill>
                    <a:schemeClr val="bg1"/>
                  </a:solidFill>
                  <a:latin typeface="Avenir "/>
                  <a:ea typeface="+mn-ea"/>
                  <a:cs typeface="Arial" panose="020B0604020202020204" pitchFamily="34" charset="0"/>
                </a:rPr>
                <a:pPr marL="0" indent="0" algn="l"/>
                <a:t>Renting</a:t>
              </a:fld>
              <a:endParaRPr lang="en-US" sz="1100" b="0" i="0" u="none" strike="noStrike">
                <a:solidFill>
                  <a:schemeClr val="bg1"/>
                </a:solidFill>
                <a:latin typeface="Avenir "/>
                <a:ea typeface="+mn-ea"/>
                <a:cs typeface="Arial" panose="020B0604020202020204" pitchFamily="34" charset="0"/>
              </a:endParaRPr>
            </a:p>
          </xdr:txBody>
        </xdr:sp>
        <xdr:sp macro="" textlink="pivots!G8">
          <xdr:nvSpPr>
            <xdr:cNvPr id="44" name="TextBox 43">
              <a:extLst>
                <a:ext uri="{FF2B5EF4-FFF2-40B4-BE49-F238E27FC236}">
                  <a16:creationId xmlns:a16="http://schemas.microsoft.com/office/drawing/2014/main" xmlns="" id="{C573F777-E157-4A6F-A518-7A516C9242B6}"/>
                </a:ext>
              </a:extLst>
            </xdr:cNvPr>
            <xdr:cNvSpPr txBox="1"/>
          </xdr:nvSpPr>
          <xdr:spPr>
            <a:xfrm>
              <a:off x="205359" y="6591300"/>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823080A-FEC6-49FB-B1DE-53AFA4ED6F0B}" type="TxLink">
                <a:rPr lang="en-US" sz="1100" b="0" i="0" u="none" strike="noStrike">
                  <a:solidFill>
                    <a:schemeClr val="bg1"/>
                  </a:solidFill>
                  <a:latin typeface="Avenir "/>
                  <a:ea typeface="+mn-ea"/>
                  <a:cs typeface="Arial" panose="020B0604020202020204" pitchFamily="34" charset="0"/>
                </a:rPr>
                <a:pPr marL="0" indent="0" algn="l"/>
                <a:t>Subscription</a:t>
              </a:fld>
              <a:endParaRPr lang="en-US" sz="1100" b="0" i="0" u="none" strike="noStrike">
                <a:solidFill>
                  <a:schemeClr val="bg1"/>
                </a:solidFill>
                <a:latin typeface="Avenir "/>
                <a:ea typeface="+mn-ea"/>
                <a:cs typeface="Arial" panose="020B0604020202020204" pitchFamily="34" charset="0"/>
              </a:endParaRPr>
            </a:p>
          </xdr:txBody>
        </xdr:sp>
        <xdr:sp macro="" textlink="pivots!G9">
          <xdr:nvSpPr>
            <xdr:cNvPr id="45" name="TextBox 44">
              <a:extLst>
                <a:ext uri="{FF2B5EF4-FFF2-40B4-BE49-F238E27FC236}">
                  <a16:creationId xmlns:a16="http://schemas.microsoft.com/office/drawing/2014/main" xmlns="" id="{CEE6BB3C-044F-40D7-834C-2693F0C3959D}"/>
                </a:ext>
              </a:extLst>
            </xdr:cNvPr>
            <xdr:cNvSpPr txBox="1"/>
          </xdr:nvSpPr>
          <xdr:spPr>
            <a:xfrm>
              <a:off x="234315" y="6972300"/>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7C1C815-C27A-4F0B-8092-ADD71048FF9F}" type="TxLink">
                <a:rPr lang="en-US" sz="1100" b="0" i="0" u="none" strike="noStrike">
                  <a:solidFill>
                    <a:schemeClr val="bg1"/>
                  </a:solidFill>
                  <a:latin typeface="Avenir "/>
                  <a:ea typeface="+mn-ea"/>
                  <a:cs typeface="Arial" panose="020B0604020202020204" pitchFamily="34" charset="0"/>
                </a:rPr>
                <a:pPr marL="0" indent="0" algn="l"/>
                <a:t>Usage fees</a:t>
              </a:fld>
              <a:endParaRPr lang="en-US" sz="1100" b="0" i="0" u="none" strike="noStrike">
                <a:solidFill>
                  <a:schemeClr val="bg1"/>
                </a:solidFill>
                <a:latin typeface="Avenir "/>
                <a:ea typeface="+mn-ea"/>
                <a:cs typeface="Arial" panose="020B0604020202020204" pitchFamily="34" charset="0"/>
              </a:endParaRPr>
            </a:p>
          </xdr:txBody>
        </xdr:sp>
      </xdr:grpSp>
      <xdr:grpSp>
        <xdr:nvGrpSpPr>
          <xdr:cNvPr id="48" name="Group 47">
            <a:extLst>
              <a:ext uri="{FF2B5EF4-FFF2-40B4-BE49-F238E27FC236}">
                <a16:creationId xmlns:a16="http://schemas.microsoft.com/office/drawing/2014/main" xmlns="" id="{6A9CEDE9-AB1A-4BD7-AE3A-344A1212E19D}"/>
              </a:ext>
            </a:extLst>
          </xdr:cNvPr>
          <xdr:cNvGrpSpPr/>
        </xdr:nvGrpSpPr>
        <xdr:grpSpPr>
          <a:xfrm>
            <a:off x="1371600" y="5067300"/>
            <a:ext cx="1143380" cy="2200276"/>
            <a:chOff x="205359" y="5105399"/>
            <a:chExt cx="1143380" cy="2200276"/>
          </a:xfrm>
        </xdr:grpSpPr>
        <xdr:sp macro="" textlink="pivots!N4">
          <xdr:nvSpPr>
            <xdr:cNvPr id="49" name="TextBox 48">
              <a:extLst>
                <a:ext uri="{FF2B5EF4-FFF2-40B4-BE49-F238E27FC236}">
                  <a16:creationId xmlns:a16="http://schemas.microsoft.com/office/drawing/2014/main" xmlns="" id="{DB763A4C-C3E2-4927-ABAB-5A1856D977E1}"/>
                </a:ext>
              </a:extLst>
            </xdr:cNvPr>
            <xdr:cNvSpPr txBox="1"/>
          </xdr:nvSpPr>
          <xdr:spPr>
            <a:xfrm>
              <a:off x="222885" y="5105399"/>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7631065-94DC-46C8-90C6-C684EABB2338}" type="TxLink">
                <a:rPr lang="en-US" sz="1100" b="0" i="0" u="none" strike="noStrike">
                  <a:solidFill>
                    <a:schemeClr val="bg1"/>
                  </a:solidFill>
                  <a:latin typeface="Avenir "/>
                  <a:ea typeface="+mn-ea"/>
                  <a:cs typeface="Arial" panose="020B0604020202020204" pitchFamily="34" charset="0"/>
                </a:rPr>
                <a:pPr marL="0" indent="0" algn="l"/>
                <a:t>16%</a:t>
              </a:fld>
              <a:endParaRPr lang="en-US" sz="1100" b="0" i="0" u="none" strike="noStrike">
                <a:solidFill>
                  <a:schemeClr val="bg1"/>
                </a:solidFill>
                <a:latin typeface="Avenir "/>
                <a:ea typeface="+mn-ea"/>
                <a:cs typeface="Arial" panose="020B0604020202020204" pitchFamily="34" charset="0"/>
              </a:endParaRPr>
            </a:p>
          </xdr:txBody>
        </xdr:sp>
        <xdr:sp macro="" textlink="pivots!N5">
          <xdr:nvSpPr>
            <xdr:cNvPr id="50" name="TextBox 49">
              <a:extLst>
                <a:ext uri="{FF2B5EF4-FFF2-40B4-BE49-F238E27FC236}">
                  <a16:creationId xmlns:a16="http://schemas.microsoft.com/office/drawing/2014/main" xmlns="" id="{B6A5925B-4871-479C-8B96-D7B27E2A1B55}"/>
                </a:ext>
              </a:extLst>
            </xdr:cNvPr>
            <xdr:cNvSpPr txBox="1"/>
          </xdr:nvSpPr>
          <xdr:spPr>
            <a:xfrm>
              <a:off x="223647" y="5486400"/>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A63D6B0-FDAD-44D9-9315-AD66471DDF31}" type="TxLink">
                <a:rPr lang="en-US" sz="1100" b="0" i="0" u="none" strike="noStrike">
                  <a:solidFill>
                    <a:schemeClr val="bg1"/>
                  </a:solidFill>
                  <a:latin typeface="Avenir "/>
                  <a:ea typeface="+mn-ea"/>
                  <a:cs typeface="Arial" panose="020B0604020202020204" pitchFamily="34" charset="0"/>
                </a:rPr>
                <a:pPr marL="0" indent="0" algn="l"/>
                <a:t>14%</a:t>
              </a:fld>
              <a:endParaRPr lang="en-US" sz="1100" b="0" i="0" u="none" strike="noStrike">
                <a:solidFill>
                  <a:schemeClr val="bg1"/>
                </a:solidFill>
                <a:latin typeface="Avenir "/>
                <a:ea typeface="+mn-ea"/>
                <a:cs typeface="Arial" panose="020B0604020202020204" pitchFamily="34" charset="0"/>
              </a:endParaRPr>
            </a:p>
          </xdr:txBody>
        </xdr:sp>
        <xdr:sp macro="" textlink="pivots!N6">
          <xdr:nvSpPr>
            <xdr:cNvPr id="51" name="TextBox 50">
              <a:extLst>
                <a:ext uri="{FF2B5EF4-FFF2-40B4-BE49-F238E27FC236}">
                  <a16:creationId xmlns:a16="http://schemas.microsoft.com/office/drawing/2014/main" xmlns="" id="{31628C3C-7848-435C-9CB1-342D5FA60BF2}"/>
                </a:ext>
              </a:extLst>
            </xdr:cNvPr>
            <xdr:cNvSpPr txBox="1"/>
          </xdr:nvSpPr>
          <xdr:spPr>
            <a:xfrm>
              <a:off x="224028" y="5838825"/>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9CCA2C6-509E-4FE2-9D3A-526751C9CAA5}" type="TxLink">
                <a:rPr lang="en-US" sz="1100" b="0" i="0" u="none" strike="noStrike">
                  <a:solidFill>
                    <a:schemeClr val="bg1"/>
                  </a:solidFill>
                  <a:latin typeface="Avenir "/>
                  <a:ea typeface="+mn-ea"/>
                  <a:cs typeface="Arial" panose="020B0604020202020204" pitchFamily="34" charset="0"/>
                </a:rPr>
                <a:pPr marL="0" indent="0" algn="l"/>
                <a:t>19%</a:t>
              </a:fld>
              <a:endParaRPr lang="en-US" sz="1100" b="0" i="0" u="none" strike="noStrike">
                <a:solidFill>
                  <a:schemeClr val="bg1"/>
                </a:solidFill>
                <a:latin typeface="Avenir "/>
                <a:ea typeface="+mn-ea"/>
                <a:cs typeface="Arial" panose="020B0604020202020204" pitchFamily="34" charset="0"/>
              </a:endParaRPr>
            </a:p>
          </xdr:txBody>
        </xdr:sp>
        <xdr:sp macro="" textlink="pivots!N7">
          <xdr:nvSpPr>
            <xdr:cNvPr id="52" name="TextBox 51">
              <a:extLst>
                <a:ext uri="{FF2B5EF4-FFF2-40B4-BE49-F238E27FC236}">
                  <a16:creationId xmlns:a16="http://schemas.microsoft.com/office/drawing/2014/main" xmlns="" id="{5AB3023C-19A0-4B7A-9294-AB49E8A987C7}"/>
                </a:ext>
              </a:extLst>
            </xdr:cNvPr>
            <xdr:cNvSpPr txBox="1"/>
          </xdr:nvSpPr>
          <xdr:spPr>
            <a:xfrm>
              <a:off x="213741" y="6200775"/>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43BFEE2-D5E5-41D5-88C4-64CDD5D77297}" type="TxLink">
                <a:rPr lang="en-US" sz="1100" b="0" i="0" u="none" strike="noStrike">
                  <a:solidFill>
                    <a:schemeClr val="bg1"/>
                  </a:solidFill>
                  <a:latin typeface="Avenir "/>
                  <a:ea typeface="+mn-ea"/>
                  <a:cs typeface="Arial" panose="020B0604020202020204" pitchFamily="34" charset="0"/>
                </a:rPr>
                <a:pPr marL="0" indent="0" algn="l"/>
                <a:t>17%</a:t>
              </a:fld>
              <a:endParaRPr lang="en-US" sz="1100" b="0" i="0" u="none" strike="noStrike">
                <a:solidFill>
                  <a:schemeClr val="bg1"/>
                </a:solidFill>
                <a:latin typeface="Avenir "/>
                <a:ea typeface="+mn-ea"/>
                <a:cs typeface="Arial" panose="020B0604020202020204" pitchFamily="34" charset="0"/>
              </a:endParaRPr>
            </a:p>
          </xdr:txBody>
        </xdr:sp>
        <xdr:sp macro="" textlink="pivots!N8">
          <xdr:nvSpPr>
            <xdr:cNvPr id="53" name="TextBox 52">
              <a:extLst>
                <a:ext uri="{FF2B5EF4-FFF2-40B4-BE49-F238E27FC236}">
                  <a16:creationId xmlns:a16="http://schemas.microsoft.com/office/drawing/2014/main" xmlns="" id="{47E34953-97D2-408A-9CCC-74874048C6D1}"/>
                </a:ext>
              </a:extLst>
            </xdr:cNvPr>
            <xdr:cNvSpPr txBox="1"/>
          </xdr:nvSpPr>
          <xdr:spPr>
            <a:xfrm>
              <a:off x="205359" y="6591300"/>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DDB9F14-4643-4D68-BC26-841E0687AFE5}" type="TxLink">
                <a:rPr lang="en-US" sz="1100" b="0" i="0" u="none" strike="noStrike">
                  <a:solidFill>
                    <a:schemeClr val="bg1"/>
                  </a:solidFill>
                  <a:latin typeface="Avenir "/>
                  <a:ea typeface="+mn-ea"/>
                  <a:cs typeface="Arial" panose="020B0604020202020204" pitchFamily="34" charset="0"/>
                </a:rPr>
                <a:pPr marL="0" indent="0" algn="l"/>
                <a:t>16%</a:t>
              </a:fld>
              <a:endParaRPr lang="en-US" sz="1100" b="0" i="0" u="none" strike="noStrike">
                <a:solidFill>
                  <a:schemeClr val="bg1"/>
                </a:solidFill>
                <a:latin typeface="Avenir "/>
                <a:ea typeface="+mn-ea"/>
                <a:cs typeface="Arial" panose="020B0604020202020204" pitchFamily="34" charset="0"/>
              </a:endParaRPr>
            </a:p>
          </xdr:txBody>
        </xdr:sp>
        <xdr:sp macro="" textlink="pivots!N9">
          <xdr:nvSpPr>
            <xdr:cNvPr id="54" name="TextBox 53">
              <a:extLst>
                <a:ext uri="{FF2B5EF4-FFF2-40B4-BE49-F238E27FC236}">
                  <a16:creationId xmlns:a16="http://schemas.microsoft.com/office/drawing/2014/main" xmlns="" id="{15670509-5DA6-4C6D-BC01-4D03BA99F31F}"/>
                </a:ext>
              </a:extLst>
            </xdr:cNvPr>
            <xdr:cNvSpPr txBox="1"/>
          </xdr:nvSpPr>
          <xdr:spPr>
            <a:xfrm>
              <a:off x="234315" y="6972300"/>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A93788-1CA8-4E14-86CB-1225137593AF}" type="TxLink">
                <a:rPr lang="en-US" sz="1100" b="0" i="0" u="none" strike="noStrike">
                  <a:solidFill>
                    <a:schemeClr val="bg1"/>
                  </a:solidFill>
                  <a:latin typeface="Avenir "/>
                  <a:ea typeface="+mn-ea"/>
                  <a:cs typeface="Arial" panose="020B0604020202020204" pitchFamily="34" charset="0"/>
                </a:rPr>
                <a:pPr marL="0" indent="0" algn="l"/>
                <a:t>18%</a:t>
              </a:fld>
              <a:endParaRPr lang="en-US" sz="1100" b="0" i="0" u="none" strike="noStrike">
                <a:solidFill>
                  <a:schemeClr val="bg1"/>
                </a:solidFill>
                <a:latin typeface="Avenir "/>
                <a:ea typeface="+mn-ea"/>
                <a:cs typeface="Arial" panose="020B0604020202020204" pitchFamily="34" charset="0"/>
              </a:endParaRPr>
            </a:p>
          </xdr:txBody>
        </xdr:sp>
      </xdr:grpSp>
      <xdr:grpSp>
        <xdr:nvGrpSpPr>
          <xdr:cNvPr id="55" name="Group 54">
            <a:extLst>
              <a:ext uri="{FF2B5EF4-FFF2-40B4-BE49-F238E27FC236}">
                <a16:creationId xmlns:a16="http://schemas.microsoft.com/office/drawing/2014/main" xmlns="" id="{ACFAA242-DF20-4BAF-A35F-04F13493E261}"/>
              </a:ext>
            </a:extLst>
          </xdr:cNvPr>
          <xdr:cNvGrpSpPr/>
        </xdr:nvGrpSpPr>
        <xdr:grpSpPr>
          <a:xfrm>
            <a:off x="2057400" y="5067300"/>
            <a:ext cx="1143380" cy="2200276"/>
            <a:chOff x="205359" y="5105399"/>
            <a:chExt cx="1143380" cy="2200276"/>
          </a:xfrm>
        </xdr:grpSpPr>
        <xdr:sp macro="" textlink="pivots!M4">
          <xdr:nvSpPr>
            <xdr:cNvPr id="56" name="TextBox 55">
              <a:extLst>
                <a:ext uri="{FF2B5EF4-FFF2-40B4-BE49-F238E27FC236}">
                  <a16:creationId xmlns:a16="http://schemas.microsoft.com/office/drawing/2014/main" xmlns="" id="{DE0D780D-BF6C-49C6-B001-4C8692DDF2D4}"/>
                </a:ext>
              </a:extLst>
            </xdr:cNvPr>
            <xdr:cNvSpPr txBox="1"/>
          </xdr:nvSpPr>
          <xdr:spPr>
            <a:xfrm>
              <a:off x="222885" y="5105399"/>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CC054A-D82B-4CF4-A463-48D0A871FE7B}" type="TxLink">
                <a:rPr lang="en-US" sz="1100" b="0" i="0" u="none" strike="noStrike">
                  <a:solidFill>
                    <a:schemeClr val="bg1"/>
                  </a:solidFill>
                  <a:latin typeface="Avenir "/>
                  <a:ea typeface="+mn-ea"/>
                  <a:cs typeface="Arial" panose="020B0604020202020204" pitchFamily="34" charset="0"/>
                </a:rPr>
                <a:pPr marL="0" indent="0" algn="l"/>
                <a:t>41,322</a:t>
              </a:fld>
              <a:endParaRPr lang="en-US" sz="1100" b="0" i="0" u="none" strike="noStrike">
                <a:solidFill>
                  <a:schemeClr val="bg1"/>
                </a:solidFill>
                <a:latin typeface="Avenir "/>
                <a:ea typeface="+mn-ea"/>
                <a:cs typeface="Arial" panose="020B0604020202020204" pitchFamily="34" charset="0"/>
              </a:endParaRPr>
            </a:p>
          </xdr:txBody>
        </xdr:sp>
        <xdr:sp macro="" textlink="pivots!M5">
          <xdr:nvSpPr>
            <xdr:cNvPr id="57" name="TextBox 56">
              <a:extLst>
                <a:ext uri="{FF2B5EF4-FFF2-40B4-BE49-F238E27FC236}">
                  <a16:creationId xmlns:a16="http://schemas.microsoft.com/office/drawing/2014/main" xmlns="" id="{23F13047-5D61-418D-A25A-220E65BB1A34}"/>
                </a:ext>
              </a:extLst>
            </xdr:cNvPr>
            <xdr:cNvSpPr txBox="1"/>
          </xdr:nvSpPr>
          <xdr:spPr>
            <a:xfrm>
              <a:off x="223647" y="5486400"/>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7F6F1F3-66A5-4C16-A37D-E91B7E7F56CC}" type="TxLink">
                <a:rPr lang="en-US" sz="1100" b="0" i="0" u="none" strike="noStrike">
                  <a:solidFill>
                    <a:schemeClr val="bg1"/>
                  </a:solidFill>
                  <a:latin typeface="Avenir "/>
                  <a:ea typeface="+mn-ea"/>
                  <a:cs typeface="Arial" panose="020B0604020202020204" pitchFamily="34" charset="0"/>
                </a:rPr>
                <a:pPr marL="0" indent="0" algn="l"/>
                <a:t>37,287</a:t>
              </a:fld>
              <a:endParaRPr lang="en-US" sz="1100" b="0" i="0" u="none" strike="noStrike">
                <a:solidFill>
                  <a:schemeClr val="bg1"/>
                </a:solidFill>
                <a:latin typeface="Avenir "/>
                <a:ea typeface="+mn-ea"/>
                <a:cs typeface="Arial" panose="020B0604020202020204" pitchFamily="34" charset="0"/>
              </a:endParaRPr>
            </a:p>
          </xdr:txBody>
        </xdr:sp>
        <xdr:sp macro="" textlink="pivots!M6">
          <xdr:nvSpPr>
            <xdr:cNvPr id="58" name="TextBox 57">
              <a:extLst>
                <a:ext uri="{FF2B5EF4-FFF2-40B4-BE49-F238E27FC236}">
                  <a16:creationId xmlns:a16="http://schemas.microsoft.com/office/drawing/2014/main" xmlns="" id="{B6CE1126-6518-4299-8AF6-F74D4F23B531}"/>
                </a:ext>
              </a:extLst>
            </xdr:cNvPr>
            <xdr:cNvSpPr txBox="1"/>
          </xdr:nvSpPr>
          <xdr:spPr>
            <a:xfrm>
              <a:off x="224028" y="5838825"/>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CE4D5D-2AEB-40EC-AE6A-95ABF4CE652A}" type="TxLink">
                <a:rPr lang="en-US" sz="1100" b="0" i="0" u="none" strike="noStrike">
                  <a:solidFill>
                    <a:schemeClr val="bg1"/>
                  </a:solidFill>
                  <a:latin typeface="Avenir "/>
                  <a:ea typeface="+mn-ea"/>
                  <a:cs typeface="Arial" panose="020B0604020202020204" pitchFamily="34" charset="0"/>
                </a:rPr>
                <a:pPr marL="0" indent="0" algn="l"/>
                <a:t>48,824</a:t>
              </a:fld>
              <a:endParaRPr lang="en-US" sz="1100" b="0" i="0" u="none" strike="noStrike">
                <a:solidFill>
                  <a:schemeClr val="bg1"/>
                </a:solidFill>
                <a:latin typeface="Avenir "/>
                <a:ea typeface="+mn-ea"/>
                <a:cs typeface="Arial" panose="020B0604020202020204" pitchFamily="34" charset="0"/>
              </a:endParaRPr>
            </a:p>
          </xdr:txBody>
        </xdr:sp>
        <xdr:sp macro="" textlink="pivots!M7">
          <xdr:nvSpPr>
            <xdr:cNvPr id="59" name="TextBox 58">
              <a:extLst>
                <a:ext uri="{FF2B5EF4-FFF2-40B4-BE49-F238E27FC236}">
                  <a16:creationId xmlns:a16="http://schemas.microsoft.com/office/drawing/2014/main" xmlns="" id="{2B45C9A2-007F-428A-B5AD-D4CF2E322A7C}"/>
                </a:ext>
              </a:extLst>
            </xdr:cNvPr>
            <xdr:cNvSpPr txBox="1"/>
          </xdr:nvSpPr>
          <xdr:spPr>
            <a:xfrm>
              <a:off x="213741" y="6200775"/>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AC3F32B-5CC5-4F33-9361-B341D990E87D}" type="TxLink">
                <a:rPr lang="en-US" sz="1100" b="0" i="0" u="none" strike="noStrike">
                  <a:solidFill>
                    <a:schemeClr val="bg1"/>
                  </a:solidFill>
                  <a:latin typeface="Avenir "/>
                  <a:ea typeface="+mn-ea"/>
                  <a:cs typeface="Arial" panose="020B0604020202020204" pitchFamily="34" charset="0"/>
                </a:rPr>
                <a:pPr marL="0" indent="0" algn="l"/>
                <a:t>43,393</a:t>
              </a:fld>
              <a:endParaRPr lang="en-US" sz="1100" b="0" i="0" u="none" strike="noStrike">
                <a:solidFill>
                  <a:schemeClr val="bg1"/>
                </a:solidFill>
                <a:latin typeface="Avenir "/>
                <a:ea typeface="+mn-ea"/>
                <a:cs typeface="Arial" panose="020B0604020202020204" pitchFamily="34" charset="0"/>
              </a:endParaRPr>
            </a:p>
          </xdr:txBody>
        </xdr:sp>
        <xdr:sp macro="" textlink="pivots!M8">
          <xdr:nvSpPr>
            <xdr:cNvPr id="60" name="TextBox 59">
              <a:extLst>
                <a:ext uri="{FF2B5EF4-FFF2-40B4-BE49-F238E27FC236}">
                  <a16:creationId xmlns:a16="http://schemas.microsoft.com/office/drawing/2014/main" xmlns="" id="{BA7BE7BF-835A-4047-99DF-C6F895681355}"/>
                </a:ext>
              </a:extLst>
            </xdr:cNvPr>
            <xdr:cNvSpPr txBox="1"/>
          </xdr:nvSpPr>
          <xdr:spPr>
            <a:xfrm>
              <a:off x="205359" y="6591300"/>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5B1EC66-0E56-446D-BC45-6A20D0C99337}" type="TxLink">
                <a:rPr lang="en-US" sz="1100" b="0" i="0" u="none" strike="noStrike">
                  <a:solidFill>
                    <a:schemeClr val="bg1"/>
                  </a:solidFill>
                  <a:latin typeface="Avenir "/>
                  <a:ea typeface="+mn-ea"/>
                  <a:cs typeface="Arial" panose="020B0604020202020204" pitchFamily="34" charset="0"/>
                </a:rPr>
                <a:pPr marL="0" indent="0" algn="l"/>
                <a:t>40,532</a:t>
              </a:fld>
              <a:endParaRPr lang="en-US" sz="1100" b="0" i="0" u="none" strike="noStrike">
                <a:solidFill>
                  <a:schemeClr val="bg1"/>
                </a:solidFill>
                <a:latin typeface="Avenir "/>
                <a:ea typeface="+mn-ea"/>
                <a:cs typeface="Arial" panose="020B0604020202020204" pitchFamily="34" charset="0"/>
              </a:endParaRPr>
            </a:p>
          </xdr:txBody>
        </xdr:sp>
        <xdr:sp macro="" textlink="pivots!M9">
          <xdr:nvSpPr>
            <xdr:cNvPr id="61" name="TextBox 60">
              <a:extLst>
                <a:ext uri="{FF2B5EF4-FFF2-40B4-BE49-F238E27FC236}">
                  <a16:creationId xmlns:a16="http://schemas.microsoft.com/office/drawing/2014/main" xmlns="" id="{303C3099-6FE0-4E2F-85D1-A491CD2B74AE}"/>
                </a:ext>
              </a:extLst>
            </xdr:cNvPr>
            <xdr:cNvSpPr txBox="1"/>
          </xdr:nvSpPr>
          <xdr:spPr>
            <a:xfrm>
              <a:off x="234315" y="6972300"/>
              <a:ext cx="1114424" cy="3333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780E78E-9A95-45DB-A51D-AAE1DDC7A0E0}" type="TxLink">
                <a:rPr lang="en-US" sz="1100" b="0" i="0" u="none" strike="noStrike">
                  <a:solidFill>
                    <a:schemeClr val="bg1"/>
                  </a:solidFill>
                  <a:latin typeface="Avenir "/>
                  <a:ea typeface="+mn-ea"/>
                  <a:cs typeface="Arial" panose="020B0604020202020204" pitchFamily="34" charset="0"/>
                </a:rPr>
                <a:pPr marL="0" indent="0" algn="l"/>
                <a:t>47,254</a:t>
              </a:fld>
              <a:endParaRPr lang="en-US" sz="1100" b="0" i="0" u="none" strike="noStrike">
                <a:solidFill>
                  <a:schemeClr val="bg1"/>
                </a:solidFill>
                <a:latin typeface="Avenir "/>
                <a:ea typeface="+mn-ea"/>
                <a:cs typeface="Arial" panose="020B0604020202020204" pitchFamily="34" charset="0"/>
              </a:endParaRPr>
            </a:p>
          </xdr:txBody>
        </xdr:sp>
      </xdr:grpSp>
      <xdr:grpSp>
        <xdr:nvGrpSpPr>
          <xdr:cNvPr id="132" name="Group 131">
            <a:extLst>
              <a:ext uri="{FF2B5EF4-FFF2-40B4-BE49-F238E27FC236}">
                <a16:creationId xmlns:a16="http://schemas.microsoft.com/office/drawing/2014/main" xmlns="" id="{48352378-3BFD-49C5-8ADA-B23463AB6975}"/>
              </a:ext>
            </a:extLst>
          </xdr:cNvPr>
          <xdr:cNvGrpSpPr/>
        </xdr:nvGrpSpPr>
        <xdr:grpSpPr>
          <a:xfrm>
            <a:off x="12798" y="5240997"/>
            <a:ext cx="430687" cy="2064677"/>
            <a:chOff x="12798" y="5240997"/>
            <a:chExt cx="430687" cy="2064677"/>
          </a:xfrm>
        </xdr:grpSpPr>
        <xdr:sp macro="" textlink="pivots!G4">
          <xdr:nvSpPr>
            <xdr:cNvPr id="127" name="TextBox 126">
              <a:extLst>
                <a:ext uri="{FF2B5EF4-FFF2-40B4-BE49-F238E27FC236}">
                  <a16:creationId xmlns:a16="http://schemas.microsoft.com/office/drawing/2014/main" xmlns="" id="{047AF913-42A6-4C88-A1CE-C54DBC656AAF}"/>
                </a:ext>
              </a:extLst>
            </xdr:cNvPr>
            <xdr:cNvSpPr txBox="1"/>
          </xdr:nvSpPr>
          <xdr:spPr>
            <a:xfrm>
              <a:off x="12798" y="5240997"/>
              <a:ext cx="409576" cy="590550"/>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rgbClr val="D01158"/>
                  </a:solidFill>
                  <a:latin typeface="Times New Roman" panose="02020603050405020304" pitchFamily="18" charset="0"/>
                  <a:cs typeface="Times New Roman" panose="02020603050405020304" pitchFamily="18" charset="0"/>
                </a:rPr>
                <a:t>.</a:t>
              </a:r>
              <a:endParaRPr lang="en-US" sz="4000" b="0" i="0" u="none" strike="noStrike">
                <a:solidFill>
                  <a:srgbClr val="D01158"/>
                </a:solidFill>
                <a:latin typeface="Avenir "/>
                <a:cs typeface="Arial" panose="020B0604020202020204" pitchFamily="34" charset="0"/>
              </a:endParaRPr>
            </a:p>
          </xdr:txBody>
        </xdr:sp>
        <xdr:sp macro="" textlink="pivots!G4">
          <xdr:nvSpPr>
            <xdr:cNvPr id="128" name="TextBox 127">
              <a:extLst>
                <a:ext uri="{FF2B5EF4-FFF2-40B4-BE49-F238E27FC236}">
                  <a16:creationId xmlns:a16="http://schemas.microsoft.com/office/drawing/2014/main" xmlns="" id="{3AA8C245-B1A5-43FE-B169-ADFC4399FA69}"/>
                </a:ext>
              </a:extLst>
            </xdr:cNvPr>
            <xdr:cNvSpPr txBox="1"/>
          </xdr:nvSpPr>
          <xdr:spPr>
            <a:xfrm>
              <a:off x="24384" y="5562599"/>
              <a:ext cx="409576" cy="590550"/>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rgbClr val="D01158"/>
                  </a:solidFill>
                  <a:latin typeface="Times New Roman" panose="02020603050405020304" pitchFamily="18" charset="0"/>
                  <a:cs typeface="Times New Roman" panose="02020603050405020304" pitchFamily="18" charset="0"/>
                </a:rPr>
                <a:t>.</a:t>
              </a:r>
              <a:endParaRPr lang="en-US" sz="4000" b="0" i="0" u="none" strike="noStrike">
                <a:solidFill>
                  <a:srgbClr val="D01158"/>
                </a:solidFill>
                <a:latin typeface="Avenir "/>
                <a:cs typeface="Arial" panose="020B0604020202020204" pitchFamily="34" charset="0"/>
              </a:endParaRPr>
            </a:p>
          </xdr:txBody>
        </xdr:sp>
        <xdr:sp macro="" textlink="pivots!G4">
          <xdr:nvSpPr>
            <xdr:cNvPr id="129" name="TextBox 128">
              <a:extLst>
                <a:ext uri="{FF2B5EF4-FFF2-40B4-BE49-F238E27FC236}">
                  <a16:creationId xmlns:a16="http://schemas.microsoft.com/office/drawing/2014/main" xmlns="" id="{5ABA4D3E-D138-4B7B-989F-652A50612CAE}"/>
                </a:ext>
              </a:extLst>
            </xdr:cNvPr>
            <xdr:cNvSpPr txBox="1"/>
          </xdr:nvSpPr>
          <xdr:spPr>
            <a:xfrm>
              <a:off x="33909" y="5943599"/>
              <a:ext cx="409576" cy="590550"/>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rgbClr val="D01158"/>
                  </a:solidFill>
                  <a:latin typeface="Times New Roman" panose="02020603050405020304" pitchFamily="18" charset="0"/>
                  <a:cs typeface="Times New Roman" panose="02020603050405020304" pitchFamily="18" charset="0"/>
                </a:rPr>
                <a:t>.</a:t>
              </a:r>
              <a:endParaRPr lang="en-US" sz="4000" b="0" i="0" u="none" strike="noStrike">
                <a:solidFill>
                  <a:srgbClr val="D01158"/>
                </a:solidFill>
                <a:latin typeface="Avenir "/>
                <a:cs typeface="Arial" panose="020B0604020202020204" pitchFamily="34" charset="0"/>
              </a:endParaRPr>
            </a:p>
          </xdr:txBody>
        </xdr:sp>
        <xdr:sp macro="" textlink="pivots!G4">
          <xdr:nvSpPr>
            <xdr:cNvPr id="130" name="TextBox 129">
              <a:extLst>
                <a:ext uri="{FF2B5EF4-FFF2-40B4-BE49-F238E27FC236}">
                  <a16:creationId xmlns:a16="http://schemas.microsoft.com/office/drawing/2014/main" xmlns="" id="{25436B84-08AF-47D3-B46C-3E4CAB217087}"/>
                </a:ext>
              </a:extLst>
            </xdr:cNvPr>
            <xdr:cNvSpPr txBox="1"/>
          </xdr:nvSpPr>
          <xdr:spPr>
            <a:xfrm>
              <a:off x="33909" y="6324599"/>
              <a:ext cx="409576" cy="590550"/>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rgbClr val="D01158"/>
                  </a:solidFill>
                  <a:latin typeface="Times New Roman" panose="02020603050405020304" pitchFamily="18" charset="0"/>
                  <a:cs typeface="Times New Roman" panose="02020603050405020304" pitchFamily="18" charset="0"/>
                </a:rPr>
                <a:t>.</a:t>
              </a:r>
              <a:endParaRPr lang="en-US" sz="4000" b="0" i="0" u="none" strike="noStrike">
                <a:solidFill>
                  <a:srgbClr val="D01158"/>
                </a:solidFill>
                <a:latin typeface="Avenir "/>
                <a:cs typeface="Arial" panose="020B0604020202020204" pitchFamily="34" charset="0"/>
              </a:endParaRPr>
            </a:p>
          </xdr:txBody>
        </xdr:sp>
        <xdr:sp macro="" textlink="pivots!G4">
          <xdr:nvSpPr>
            <xdr:cNvPr id="131" name="TextBox 130">
              <a:extLst>
                <a:ext uri="{FF2B5EF4-FFF2-40B4-BE49-F238E27FC236}">
                  <a16:creationId xmlns:a16="http://schemas.microsoft.com/office/drawing/2014/main" xmlns="" id="{0BCD3333-2FEA-4A41-BD9D-47B429BF5029}"/>
                </a:ext>
              </a:extLst>
            </xdr:cNvPr>
            <xdr:cNvSpPr txBox="1"/>
          </xdr:nvSpPr>
          <xdr:spPr>
            <a:xfrm>
              <a:off x="33909" y="6715124"/>
              <a:ext cx="409576" cy="590550"/>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rgbClr val="D01158"/>
                  </a:solidFill>
                  <a:latin typeface="Times New Roman" panose="02020603050405020304" pitchFamily="18" charset="0"/>
                  <a:cs typeface="Times New Roman" panose="02020603050405020304" pitchFamily="18" charset="0"/>
                </a:rPr>
                <a:t>.</a:t>
              </a:r>
              <a:endParaRPr lang="en-US" sz="4000" b="0" i="0" u="none" strike="noStrike">
                <a:solidFill>
                  <a:srgbClr val="D01158"/>
                </a:solidFill>
                <a:latin typeface="Avenir "/>
                <a:cs typeface="Arial" panose="020B0604020202020204" pitchFamily="34" charset="0"/>
              </a:endParaRPr>
            </a:p>
          </xdr:txBody>
        </xdr:sp>
      </xdr:grpSp>
    </xdr:grpSp>
    <xdr:clientData/>
  </xdr:twoCellAnchor>
  <xdr:twoCellAnchor>
    <xdr:from>
      <xdr:col>16</xdr:col>
      <xdr:colOff>666749</xdr:colOff>
      <xdr:row>1</xdr:row>
      <xdr:rowOff>9525</xdr:rowOff>
    </xdr:from>
    <xdr:to>
      <xdr:col>19</xdr:col>
      <xdr:colOff>161924</xdr:colOff>
      <xdr:row>9</xdr:row>
      <xdr:rowOff>133350</xdr:rowOff>
    </xdr:to>
    <xdr:grpSp>
      <xdr:nvGrpSpPr>
        <xdr:cNvPr id="23" name="Group 22">
          <a:extLst>
            <a:ext uri="{FF2B5EF4-FFF2-40B4-BE49-F238E27FC236}">
              <a16:creationId xmlns:a16="http://schemas.microsoft.com/office/drawing/2014/main" xmlns="" id="{46B9B0E8-2DD9-470A-A1A9-5A1E92D44A62}"/>
            </a:ext>
          </a:extLst>
        </xdr:cNvPr>
        <xdr:cNvGrpSpPr/>
      </xdr:nvGrpSpPr>
      <xdr:grpSpPr>
        <a:xfrm>
          <a:off x="11673416" y="189442"/>
          <a:ext cx="1558925" cy="1626658"/>
          <a:chOff x="11725274" y="571500"/>
          <a:chExt cx="1552575" cy="1571625"/>
        </a:xfrm>
      </xdr:grpSpPr>
      <xdr:grpSp>
        <xdr:nvGrpSpPr>
          <xdr:cNvPr id="16" name="Group 15">
            <a:extLst>
              <a:ext uri="{FF2B5EF4-FFF2-40B4-BE49-F238E27FC236}">
                <a16:creationId xmlns:a16="http://schemas.microsoft.com/office/drawing/2014/main" xmlns="" id="{CEA0BF1F-2930-4609-8F75-F6860854517F}"/>
              </a:ext>
            </a:extLst>
          </xdr:cNvPr>
          <xdr:cNvGrpSpPr/>
        </xdr:nvGrpSpPr>
        <xdr:grpSpPr>
          <a:xfrm>
            <a:off x="11725274" y="571500"/>
            <a:ext cx="1552575" cy="1571625"/>
            <a:chOff x="11706224" y="571500"/>
            <a:chExt cx="1571626" cy="1571625"/>
          </a:xfrm>
        </xdr:grpSpPr>
        <xdr:sp macro="" textlink="">
          <xdr:nvSpPr>
            <xdr:cNvPr id="15" name="Rectangle 14">
              <a:extLst>
                <a:ext uri="{FF2B5EF4-FFF2-40B4-BE49-F238E27FC236}">
                  <a16:creationId xmlns:a16="http://schemas.microsoft.com/office/drawing/2014/main" xmlns="" id="{9E75175D-56B2-4D12-ACCF-B9F4682646A4}"/>
                </a:ext>
              </a:extLst>
            </xdr:cNvPr>
            <xdr:cNvSpPr/>
          </xdr:nvSpPr>
          <xdr:spPr>
            <a:xfrm>
              <a:off x="11819706" y="923924"/>
              <a:ext cx="981076" cy="1152144"/>
            </a:xfrm>
            <a:prstGeom prst="rect">
              <a:avLst/>
            </a:prstGeom>
            <a:solidFill>
              <a:srgbClr val="070E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Rectangle 65">
              <a:extLst>
                <a:ext uri="{FF2B5EF4-FFF2-40B4-BE49-F238E27FC236}">
                  <a16:creationId xmlns:a16="http://schemas.microsoft.com/office/drawing/2014/main" xmlns="" id="{B8424657-6583-497E-886A-9D4D91160281}"/>
                </a:ext>
              </a:extLst>
            </xdr:cNvPr>
            <xdr:cNvSpPr/>
          </xdr:nvSpPr>
          <xdr:spPr>
            <a:xfrm>
              <a:off x="11706224" y="1609725"/>
              <a:ext cx="1314452" cy="533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mn-lt"/>
                  <a:cs typeface="Calibri" panose="020F0502020204030204" pitchFamily="34" charset="0"/>
                </a:rPr>
                <a:t>Average </a:t>
              </a:r>
            </a:p>
            <a:p>
              <a:pPr algn="ctr"/>
              <a:r>
                <a:rPr lang="en-US" sz="900">
                  <a:latin typeface="+mn-lt"/>
                  <a:cs typeface="Calibri" panose="020F0502020204030204" pitchFamily="34" charset="0"/>
                </a:rPr>
                <a:t>Income sources</a:t>
              </a:r>
            </a:p>
          </xdr:txBody>
        </xdr:sp>
        <xdr:sp macro="" textlink="pivots!Z5">
          <xdr:nvSpPr>
            <xdr:cNvPr id="67" name="Rectangle 66">
              <a:extLst>
                <a:ext uri="{FF2B5EF4-FFF2-40B4-BE49-F238E27FC236}">
                  <a16:creationId xmlns:a16="http://schemas.microsoft.com/office/drawing/2014/main" xmlns="" id="{BF9F011B-E604-4656-86EC-290A8134913B}"/>
                </a:ext>
              </a:extLst>
            </xdr:cNvPr>
            <xdr:cNvSpPr/>
          </xdr:nvSpPr>
          <xdr:spPr>
            <a:xfrm>
              <a:off x="11944350" y="1304925"/>
              <a:ext cx="1333500" cy="542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ADF2873-4AC8-4FB5-90DF-4E09AE11CAD7}" type="TxLink">
                <a:rPr lang="en-US" sz="2000" b="0" i="0" u="none" strike="noStrike">
                  <a:solidFill>
                    <a:schemeClr val="bg1"/>
                  </a:solidFill>
                  <a:latin typeface="Avenir "/>
                </a:rPr>
                <a:pPr algn="l"/>
                <a:t>69,292</a:t>
              </a:fld>
              <a:endParaRPr lang="en-US" sz="2000">
                <a:solidFill>
                  <a:schemeClr val="bg1"/>
                </a:solidFill>
              </a:endParaRPr>
            </a:p>
          </xdr:txBody>
        </xdr:sp>
        <xdr:sp macro="" textlink="">
          <xdr:nvSpPr>
            <xdr:cNvPr id="68" name="Rectangle 67">
              <a:extLst>
                <a:ext uri="{FF2B5EF4-FFF2-40B4-BE49-F238E27FC236}">
                  <a16:creationId xmlns:a16="http://schemas.microsoft.com/office/drawing/2014/main" xmlns="" id="{B19AEFC3-F275-43C2-A802-D82949E1396B}"/>
                </a:ext>
              </a:extLst>
            </xdr:cNvPr>
            <xdr:cNvSpPr/>
          </xdr:nvSpPr>
          <xdr:spPr>
            <a:xfrm>
              <a:off x="11820642" y="571500"/>
              <a:ext cx="409575" cy="838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latin typeface="Times New Roman" panose="02020603050405020304" pitchFamily="18" charset="0"/>
                <a:cs typeface="Times New Roman" panose="02020603050405020304" pitchFamily="18" charset="0"/>
              </a:endParaRPr>
            </a:p>
            <a:p>
              <a:pPr algn="ctr"/>
              <a:r>
                <a:rPr lang="en-US" sz="2400">
                  <a:solidFill>
                    <a:srgbClr val="FFC000"/>
                  </a:solidFill>
                  <a:latin typeface="Times New Roman" panose="02020603050405020304" pitchFamily="18" charset="0"/>
                  <a:cs typeface="Times New Roman" panose="02020603050405020304" pitchFamily="18" charset="0"/>
                </a:rPr>
                <a:t>x</a:t>
              </a:r>
              <a:r>
                <a:rPr lang="en-US" sz="2400">
                  <a:latin typeface="Times New Roman" panose="02020603050405020304" pitchFamily="18" charset="0"/>
                  <a:cs typeface="Times New Roman" panose="02020603050405020304" pitchFamily="18" charset="0"/>
                </a:rPr>
                <a:t>­</a:t>
              </a:r>
              <a:endParaRPr lang="en-US" sz="2400"/>
            </a:p>
          </xdr:txBody>
        </xdr:sp>
      </xdr:grpSp>
      <xdr:sp macro="" textlink="">
        <xdr:nvSpPr>
          <xdr:cNvPr id="71" name="Rectangle 70">
            <a:extLst>
              <a:ext uri="{FF2B5EF4-FFF2-40B4-BE49-F238E27FC236}">
                <a16:creationId xmlns:a16="http://schemas.microsoft.com/office/drawing/2014/main" xmlns="" id="{E1CCB792-931A-46A2-9893-238D8863C6D5}"/>
              </a:ext>
            </a:extLst>
          </xdr:cNvPr>
          <xdr:cNvSpPr/>
        </xdr:nvSpPr>
        <xdr:spPr>
          <a:xfrm>
            <a:off x="11821906" y="785865"/>
            <a:ext cx="409575" cy="3714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C000"/>
                </a:solidFill>
                <a:latin typeface="Times New Roman" panose="02020603050405020304" pitchFamily="18" charset="0"/>
                <a:cs typeface="Times New Roman" panose="02020603050405020304" pitchFamily="18" charset="0"/>
              </a:rPr>
              <a:t>­-</a:t>
            </a:r>
            <a:endParaRPr lang="en-US" sz="2400">
              <a:solidFill>
                <a:srgbClr val="FFC000"/>
              </a:solidFill>
            </a:endParaRPr>
          </a:p>
        </xdr:txBody>
      </xdr:sp>
    </xdr:grpSp>
    <xdr:clientData/>
  </xdr:twoCellAnchor>
  <xdr:twoCellAnchor>
    <xdr:from>
      <xdr:col>17</xdr:col>
      <xdr:colOff>85724</xdr:colOff>
      <xdr:row>9</xdr:row>
      <xdr:rowOff>114300</xdr:rowOff>
    </xdr:from>
    <xdr:to>
      <xdr:col>18</xdr:col>
      <xdr:colOff>628650</xdr:colOff>
      <xdr:row>24</xdr:row>
      <xdr:rowOff>19050</xdr:rowOff>
    </xdr:to>
    <xdr:grpSp>
      <xdr:nvGrpSpPr>
        <xdr:cNvPr id="31" name="Group 30">
          <a:extLst>
            <a:ext uri="{FF2B5EF4-FFF2-40B4-BE49-F238E27FC236}">
              <a16:creationId xmlns:a16="http://schemas.microsoft.com/office/drawing/2014/main" xmlns="" id="{373590CF-7CA4-40A2-98D8-F6D8DF37B5E1}"/>
            </a:ext>
          </a:extLst>
        </xdr:cNvPr>
        <xdr:cNvGrpSpPr/>
      </xdr:nvGrpSpPr>
      <xdr:grpSpPr>
        <a:xfrm>
          <a:off x="11780307" y="1797050"/>
          <a:ext cx="1230843" cy="2603500"/>
          <a:chOff x="11782424" y="2171700"/>
          <a:chExt cx="1228726" cy="2619375"/>
        </a:xfrm>
      </xdr:grpSpPr>
      <xdr:sp macro="" textlink="">
        <xdr:nvSpPr>
          <xdr:cNvPr id="69" name="Rectangle 68">
            <a:extLst>
              <a:ext uri="{FF2B5EF4-FFF2-40B4-BE49-F238E27FC236}">
                <a16:creationId xmlns:a16="http://schemas.microsoft.com/office/drawing/2014/main" xmlns="" id="{22B6C8D7-3527-472B-932F-4FF895133278}"/>
              </a:ext>
            </a:extLst>
          </xdr:cNvPr>
          <xdr:cNvSpPr/>
        </xdr:nvSpPr>
        <xdr:spPr>
          <a:xfrm>
            <a:off x="11782424" y="2171700"/>
            <a:ext cx="990601" cy="2562225"/>
          </a:xfrm>
          <a:prstGeom prst="rect">
            <a:avLst/>
          </a:prstGeom>
          <a:solidFill>
            <a:srgbClr val="070E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Operating </a:t>
            </a:r>
          </a:p>
          <a:p>
            <a:pPr algn="ctr"/>
            <a:r>
              <a:rPr lang="en-US" sz="1600" baseline="0"/>
              <a:t>Profits</a:t>
            </a:r>
            <a:r>
              <a:rPr lang="en-US" sz="1200" baseline="0"/>
              <a:t> </a:t>
            </a:r>
            <a:endParaRPr lang="en-US" sz="1200"/>
          </a:p>
        </xdr:txBody>
      </xdr:sp>
      <xdr:graphicFrame macro="">
        <xdr:nvGraphicFramePr>
          <xdr:cNvPr id="72" name="Chart 71">
            <a:extLst>
              <a:ext uri="{FF2B5EF4-FFF2-40B4-BE49-F238E27FC236}">
                <a16:creationId xmlns:a16="http://schemas.microsoft.com/office/drawing/2014/main" xmlns="" id="{1F56372B-919C-4C41-AF9C-7859485BF534}"/>
              </a:ext>
            </a:extLst>
          </xdr:cNvPr>
          <xdr:cNvGraphicFramePr>
            <a:graphicFrameLocks/>
          </xdr:cNvGraphicFramePr>
        </xdr:nvGraphicFramePr>
        <xdr:xfrm>
          <a:off x="11887200" y="2590800"/>
          <a:ext cx="1123950" cy="1857375"/>
        </xdr:xfrm>
        <a:graphic>
          <a:graphicData uri="http://schemas.openxmlformats.org/drawingml/2006/chart">
            <c:chart xmlns:c="http://schemas.openxmlformats.org/drawingml/2006/chart" xmlns:r="http://schemas.openxmlformats.org/officeDocument/2006/relationships" r:id="rId11"/>
          </a:graphicData>
        </a:graphic>
      </xdr:graphicFrame>
      <xdr:sp macro="" textlink="pivots!AE5">
        <xdr:nvSpPr>
          <xdr:cNvPr id="73" name="Rectangle 72">
            <a:extLst>
              <a:ext uri="{FF2B5EF4-FFF2-40B4-BE49-F238E27FC236}">
                <a16:creationId xmlns:a16="http://schemas.microsoft.com/office/drawing/2014/main" xmlns="" id="{AA82EF81-30B9-41E6-911B-9D38D3BE2B51}"/>
              </a:ext>
            </a:extLst>
          </xdr:cNvPr>
          <xdr:cNvSpPr/>
        </xdr:nvSpPr>
        <xdr:spPr>
          <a:xfrm>
            <a:off x="11811001" y="4333876"/>
            <a:ext cx="1066799" cy="4571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78ED2F4-83DF-45F3-89CA-EF7FF2557690}" type="TxLink">
              <a:rPr lang="en-US" sz="2000" b="0" i="0" u="none" strike="noStrike">
                <a:solidFill>
                  <a:schemeClr val="bg1"/>
                </a:solidFill>
                <a:latin typeface="Avenir "/>
                <a:ea typeface="+mn-ea"/>
                <a:cs typeface="+mn-cs"/>
              </a:rPr>
              <a:pPr marL="0" indent="0" algn="l"/>
              <a:t>229,111</a:t>
            </a:fld>
            <a:endParaRPr lang="en-US" sz="2000" b="0" i="0" u="none" strike="noStrike">
              <a:solidFill>
                <a:schemeClr val="bg1"/>
              </a:solidFill>
              <a:latin typeface="Avenir "/>
              <a:ea typeface="+mn-ea"/>
              <a:cs typeface="+mn-cs"/>
            </a:endParaRPr>
          </a:p>
        </xdr:txBody>
      </xdr:sp>
    </xdr:grpSp>
    <xdr:clientData/>
  </xdr:twoCellAnchor>
  <xdr:twoCellAnchor>
    <xdr:from>
      <xdr:col>16</xdr:col>
      <xdr:colOff>676271</xdr:colOff>
      <xdr:row>24</xdr:row>
      <xdr:rowOff>47625</xdr:rowOff>
    </xdr:from>
    <xdr:to>
      <xdr:col>18</xdr:col>
      <xdr:colOff>371470</xdr:colOff>
      <xdr:row>26</xdr:row>
      <xdr:rowOff>142874</xdr:rowOff>
    </xdr:to>
    <xdr:sp macro="" textlink="pivots!AK5">
      <xdr:nvSpPr>
        <xdr:cNvPr id="87" name="Rectangle 86">
          <a:extLst>
            <a:ext uri="{FF2B5EF4-FFF2-40B4-BE49-F238E27FC236}">
              <a16:creationId xmlns:a16="http://schemas.microsoft.com/office/drawing/2014/main" xmlns="" id="{CAC08729-A8D1-47BB-B83A-675535B79375}"/>
            </a:ext>
          </a:extLst>
        </xdr:cNvPr>
        <xdr:cNvSpPr/>
      </xdr:nvSpPr>
      <xdr:spPr>
        <a:xfrm>
          <a:off x="11649071" y="4391025"/>
          <a:ext cx="1066799" cy="4571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71AC8F8-8164-4176-B502-92650ACC12EA}" type="TxLink">
            <a:rPr lang="en-US" sz="2000" b="0" i="0" u="none" strike="noStrike">
              <a:solidFill>
                <a:srgbClr val="FFFFFF"/>
              </a:solidFill>
              <a:latin typeface="Avenir "/>
              <a:ea typeface="+mn-ea"/>
              <a:cs typeface="+mn-cs"/>
            </a:rPr>
            <a:pPr marL="0" indent="0" algn="ctr"/>
            <a:t>B2B</a:t>
          </a:fld>
          <a:endParaRPr lang="en-US" sz="4000" b="0" i="0" u="none" strike="noStrike">
            <a:solidFill>
              <a:schemeClr val="bg1"/>
            </a:solidFill>
            <a:latin typeface="Avenir "/>
            <a:ea typeface="+mn-ea"/>
            <a:cs typeface="+mn-cs"/>
          </a:endParaRPr>
        </a:p>
      </xdr:txBody>
    </xdr:sp>
    <xdr:clientData/>
  </xdr:twoCellAnchor>
  <xdr:twoCellAnchor>
    <xdr:from>
      <xdr:col>17</xdr:col>
      <xdr:colOff>47622</xdr:colOff>
      <xdr:row>25</xdr:row>
      <xdr:rowOff>152400</xdr:rowOff>
    </xdr:from>
    <xdr:to>
      <xdr:col>18</xdr:col>
      <xdr:colOff>333376</xdr:colOff>
      <xdr:row>27</xdr:row>
      <xdr:rowOff>180974</xdr:rowOff>
    </xdr:to>
    <xdr:sp macro="" textlink="pivots!AL5">
      <xdr:nvSpPr>
        <xdr:cNvPr id="88" name="Rectangle 87">
          <a:extLst>
            <a:ext uri="{FF2B5EF4-FFF2-40B4-BE49-F238E27FC236}">
              <a16:creationId xmlns:a16="http://schemas.microsoft.com/office/drawing/2014/main" xmlns="" id="{3DCA3E99-855C-4CAD-8182-1FE94A482ED3}"/>
            </a:ext>
          </a:extLst>
        </xdr:cNvPr>
        <xdr:cNvSpPr/>
      </xdr:nvSpPr>
      <xdr:spPr>
        <a:xfrm>
          <a:off x="11706222" y="4676775"/>
          <a:ext cx="971554" cy="3905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748DE78-526C-45E3-B5DD-7C343E9CCB30}" type="TxLink">
            <a:rPr lang="en-US" sz="1000" b="0" i="0" u="none" strike="noStrike">
              <a:solidFill>
                <a:schemeClr val="bg1"/>
              </a:solidFill>
              <a:latin typeface="Avenir "/>
              <a:ea typeface="+mn-ea"/>
              <a:cs typeface="+mn-cs"/>
            </a:rPr>
            <a:pPr marL="0" indent="0" algn="ctr"/>
            <a:t>262,044</a:t>
          </a:fld>
          <a:endParaRPr lang="en-US" sz="1600" b="0" i="0" u="none" strike="noStrike">
            <a:solidFill>
              <a:schemeClr val="bg1"/>
            </a:solidFill>
            <a:latin typeface="Avenir "/>
            <a:ea typeface="+mn-ea"/>
            <a:cs typeface="+mn-cs"/>
          </a:endParaRPr>
        </a:p>
      </xdr:txBody>
    </xdr:sp>
    <xdr:clientData/>
  </xdr:twoCellAnchor>
  <xdr:twoCellAnchor>
    <xdr:from>
      <xdr:col>17</xdr:col>
      <xdr:colOff>19046</xdr:colOff>
      <xdr:row>26</xdr:row>
      <xdr:rowOff>171450</xdr:rowOff>
    </xdr:from>
    <xdr:to>
      <xdr:col>18</xdr:col>
      <xdr:colOff>400045</xdr:colOff>
      <xdr:row>29</xdr:row>
      <xdr:rowOff>85724</xdr:rowOff>
    </xdr:to>
    <xdr:sp macro="" textlink="pivots!AM5">
      <xdr:nvSpPr>
        <xdr:cNvPr id="89" name="Rectangle 88">
          <a:extLst>
            <a:ext uri="{FF2B5EF4-FFF2-40B4-BE49-F238E27FC236}">
              <a16:creationId xmlns:a16="http://schemas.microsoft.com/office/drawing/2014/main" xmlns="" id="{A35228D3-4E43-4CF6-B1A2-80A10C84D17D}"/>
            </a:ext>
          </a:extLst>
        </xdr:cNvPr>
        <xdr:cNvSpPr/>
      </xdr:nvSpPr>
      <xdr:spPr>
        <a:xfrm>
          <a:off x="11677646" y="4876800"/>
          <a:ext cx="1066799" cy="4571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1B0ED36-9FAF-40D0-8E20-359204F2538A}" type="TxLink">
            <a:rPr lang="en-US" sz="1050" b="0" i="0" u="none" strike="noStrike">
              <a:solidFill>
                <a:schemeClr val="bg1"/>
              </a:solidFill>
              <a:latin typeface="Avenir "/>
              <a:ea typeface="+mn-ea"/>
              <a:cs typeface="+mn-cs"/>
            </a:rPr>
            <a:pPr marL="0" indent="0" algn="ctr"/>
            <a:t>45.82%</a:t>
          </a:fld>
          <a:endParaRPr lang="en-US" sz="1800" b="0" i="0" u="none" strike="noStrike">
            <a:solidFill>
              <a:schemeClr val="bg1"/>
            </a:solidFill>
            <a:latin typeface="Avenir "/>
            <a:ea typeface="+mn-ea"/>
            <a:cs typeface="+mn-cs"/>
          </a:endParaRPr>
        </a:p>
      </xdr:txBody>
    </xdr:sp>
    <xdr:clientData/>
  </xdr:twoCellAnchor>
  <xdr:twoCellAnchor>
    <xdr:from>
      <xdr:col>16</xdr:col>
      <xdr:colOff>657221</xdr:colOff>
      <xdr:row>22</xdr:row>
      <xdr:rowOff>85725</xdr:rowOff>
    </xdr:from>
    <xdr:to>
      <xdr:col>19</xdr:col>
      <xdr:colOff>133350</xdr:colOff>
      <xdr:row>37</xdr:row>
      <xdr:rowOff>152400</xdr:rowOff>
    </xdr:to>
    <xdr:grpSp>
      <xdr:nvGrpSpPr>
        <xdr:cNvPr id="33" name="Group 32">
          <a:extLst>
            <a:ext uri="{FF2B5EF4-FFF2-40B4-BE49-F238E27FC236}">
              <a16:creationId xmlns:a16="http://schemas.microsoft.com/office/drawing/2014/main" xmlns="" id="{9AA6B327-8C31-4D44-96D8-4D44D737BF96}"/>
            </a:ext>
          </a:extLst>
        </xdr:cNvPr>
        <xdr:cNvGrpSpPr/>
      </xdr:nvGrpSpPr>
      <xdr:grpSpPr>
        <a:xfrm>
          <a:off x="11663888" y="4107392"/>
          <a:ext cx="1539879" cy="2765425"/>
          <a:chOff x="11725271" y="4067175"/>
          <a:chExt cx="1533529" cy="2781300"/>
        </a:xfrm>
      </xdr:grpSpPr>
      <xdr:grpSp>
        <xdr:nvGrpSpPr>
          <xdr:cNvPr id="32" name="Group 31">
            <a:extLst>
              <a:ext uri="{FF2B5EF4-FFF2-40B4-BE49-F238E27FC236}">
                <a16:creationId xmlns:a16="http://schemas.microsoft.com/office/drawing/2014/main" xmlns="" id="{F877E761-0B99-4028-BC8D-EB363820A6B6}"/>
              </a:ext>
            </a:extLst>
          </xdr:cNvPr>
          <xdr:cNvGrpSpPr/>
        </xdr:nvGrpSpPr>
        <xdr:grpSpPr>
          <a:xfrm>
            <a:off x="11725271" y="4067175"/>
            <a:ext cx="1533529" cy="2781300"/>
            <a:chOff x="11630021" y="4124325"/>
            <a:chExt cx="1381124" cy="2781300"/>
          </a:xfrm>
        </xdr:grpSpPr>
        <xdr:grpSp>
          <xdr:nvGrpSpPr>
            <xdr:cNvPr id="70" name="Group 69">
              <a:extLst>
                <a:ext uri="{FF2B5EF4-FFF2-40B4-BE49-F238E27FC236}">
                  <a16:creationId xmlns:a16="http://schemas.microsoft.com/office/drawing/2014/main" xmlns="" id="{17596BFC-1C4F-41B2-A12D-64D011747B8D}"/>
                </a:ext>
              </a:extLst>
            </xdr:cNvPr>
            <xdr:cNvGrpSpPr/>
          </xdr:nvGrpSpPr>
          <xdr:grpSpPr>
            <a:xfrm>
              <a:off x="11687175" y="4124325"/>
              <a:ext cx="1269939" cy="2781300"/>
              <a:chOff x="11725270" y="571500"/>
              <a:chExt cx="1298518" cy="1571625"/>
            </a:xfrm>
          </xdr:grpSpPr>
          <xdr:grpSp>
            <xdr:nvGrpSpPr>
              <xdr:cNvPr id="74" name="Group 73">
                <a:extLst>
                  <a:ext uri="{FF2B5EF4-FFF2-40B4-BE49-F238E27FC236}">
                    <a16:creationId xmlns:a16="http://schemas.microsoft.com/office/drawing/2014/main" xmlns="" id="{E0558219-B31F-4CB7-A3D1-15B79D8E05E3}"/>
                  </a:ext>
                </a:extLst>
              </xdr:cNvPr>
              <xdr:cNvGrpSpPr/>
            </xdr:nvGrpSpPr>
            <xdr:grpSpPr>
              <a:xfrm>
                <a:off x="11725270" y="571500"/>
                <a:ext cx="1298518" cy="1571625"/>
                <a:chOff x="11706224" y="571500"/>
                <a:chExt cx="1314452" cy="1571625"/>
              </a:xfrm>
            </xdr:grpSpPr>
            <xdr:sp macro="" textlink="">
              <xdr:nvSpPr>
                <xdr:cNvPr id="76" name="Rectangle 75">
                  <a:extLst>
                    <a:ext uri="{FF2B5EF4-FFF2-40B4-BE49-F238E27FC236}">
                      <a16:creationId xmlns:a16="http://schemas.microsoft.com/office/drawing/2014/main" xmlns="" id="{1F9CBF50-C4F4-4929-9E47-969D6B1E41D2}"/>
                    </a:ext>
                  </a:extLst>
                </xdr:cNvPr>
                <xdr:cNvSpPr/>
              </xdr:nvSpPr>
              <xdr:spPr>
                <a:xfrm>
                  <a:off x="11742571" y="757074"/>
                  <a:ext cx="981076" cy="1152144"/>
                </a:xfrm>
                <a:prstGeom prst="rect">
                  <a:avLst/>
                </a:prstGeom>
                <a:solidFill>
                  <a:srgbClr val="070E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7" name="Rectangle 76">
                  <a:extLst>
                    <a:ext uri="{FF2B5EF4-FFF2-40B4-BE49-F238E27FC236}">
                      <a16:creationId xmlns:a16="http://schemas.microsoft.com/office/drawing/2014/main" xmlns="" id="{B37D08FC-1D1A-4582-B143-07B08BE8445A}"/>
                    </a:ext>
                  </a:extLst>
                </xdr:cNvPr>
                <xdr:cNvSpPr/>
              </xdr:nvSpPr>
              <xdr:spPr>
                <a:xfrm>
                  <a:off x="11706224" y="1609725"/>
                  <a:ext cx="1314452" cy="533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900">
                    <a:latin typeface="+mn-lt"/>
                    <a:cs typeface="Calibri" panose="020F0502020204030204" pitchFamily="34" charset="0"/>
                  </a:endParaRPr>
                </a:p>
              </xdr:txBody>
            </xdr:sp>
            <xdr:sp macro="" textlink="">
              <xdr:nvSpPr>
                <xdr:cNvPr id="79" name="Rectangle 78">
                  <a:extLst>
                    <a:ext uri="{FF2B5EF4-FFF2-40B4-BE49-F238E27FC236}">
                      <a16:creationId xmlns:a16="http://schemas.microsoft.com/office/drawing/2014/main" xmlns="" id="{D9097CDF-59DD-46D8-9019-BE148380DC27}"/>
                    </a:ext>
                  </a:extLst>
                </xdr:cNvPr>
                <xdr:cNvSpPr/>
              </xdr:nvSpPr>
              <xdr:spPr>
                <a:xfrm>
                  <a:off x="11820642" y="571500"/>
                  <a:ext cx="409575" cy="838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latin typeface="Times New Roman" panose="02020603050405020304" pitchFamily="18" charset="0"/>
                    <a:cs typeface="Times New Roman" panose="02020603050405020304" pitchFamily="18" charset="0"/>
                  </a:endParaRPr>
                </a:p>
                <a:p>
                  <a:pPr algn="ctr"/>
                  <a:r>
                    <a:rPr lang="en-US" sz="2400">
                      <a:latin typeface="Times New Roman" panose="02020603050405020304" pitchFamily="18" charset="0"/>
                      <a:cs typeface="Times New Roman" panose="02020603050405020304" pitchFamily="18" charset="0"/>
                    </a:rPr>
                    <a:t>­</a:t>
                  </a:r>
                  <a:endParaRPr lang="en-US" sz="2400"/>
                </a:p>
              </xdr:txBody>
            </xdr:sp>
          </xdr:grpSp>
          <xdr:sp macro="" textlink="">
            <xdr:nvSpPr>
              <xdr:cNvPr id="75" name="Rectangle 74">
                <a:extLst>
                  <a:ext uri="{FF2B5EF4-FFF2-40B4-BE49-F238E27FC236}">
                    <a16:creationId xmlns:a16="http://schemas.microsoft.com/office/drawing/2014/main" xmlns="" id="{6E80F077-FCFF-4A89-9419-41239F8A056A}"/>
                  </a:ext>
                </a:extLst>
              </xdr:cNvPr>
              <xdr:cNvSpPr/>
            </xdr:nvSpPr>
            <xdr:spPr>
              <a:xfrm>
                <a:off x="11811000" y="847724"/>
                <a:ext cx="409575" cy="3714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solidFill>
                    <a:srgbClr val="FFC000"/>
                  </a:solidFill>
                </a:endParaRPr>
              </a:p>
            </xdr:txBody>
          </xdr:sp>
        </xdr:grpSp>
        <xdr:graphicFrame macro="">
          <xdr:nvGraphicFramePr>
            <xdr:cNvPr id="80" name="Chart 79">
              <a:extLst>
                <a:ext uri="{FF2B5EF4-FFF2-40B4-BE49-F238E27FC236}">
                  <a16:creationId xmlns:a16="http://schemas.microsoft.com/office/drawing/2014/main" xmlns="" id="{E7D5CB03-A8E3-4546-8502-27B0368171EF}"/>
                </a:ext>
              </a:extLst>
            </xdr:cNvPr>
            <xdr:cNvGraphicFramePr>
              <a:graphicFrameLocks/>
            </xdr:cNvGraphicFramePr>
          </xdr:nvGraphicFramePr>
          <xdr:xfrm>
            <a:off x="11782424" y="4981575"/>
            <a:ext cx="809625" cy="781050"/>
          </xdr:xfrm>
          <a:graphic>
            <a:graphicData uri="http://schemas.openxmlformats.org/drawingml/2006/chart">
              <c:chart xmlns:c="http://schemas.openxmlformats.org/drawingml/2006/chart" xmlns:r="http://schemas.openxmlformats.org/officeDocument/2006/relationships" r:id="rId12"/>
            </a:graphicData>
          </a:graphic>
        </xdr:graphicFrame>
        <xdr:sp macro="" textlink="pivots!AK6">
          <xdr:nvSpPr>
            <xdr:cNvPr id="90" name="Rectangle 89">
              <a:extLst>
                <a:ext uri="{FF2B5EF4-FFF2-40B4-BE49-F238E27FC236}">
                  <a16:creationId xmlns:a16="http://schemas.microsoft.com/office/drawing/2014/main" xmlns="" id="{D1B48CA9-A162-4EAD-BA2C-46AB6EC1C793}"/>
                </a:ext>
              </a:extLst>
            </xdr:cNvPr>
            <xdr:cNvSpPr/>
          </xdr:nvSpPr>
          <xdr:spPr>
            <a:xfrm>
              <a:off x="11944346" y="6124575"/>
              <a:ext cx="1066799" cy="4571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F052965-3172-4616-8681-F2EB9007FD7E}" type="TxLink">
                <a:rPr lang="en-US" sz="2000" b="0" i="0" u="none" strike="noStrike">
                  <a:solidFill>
                    <a:srgbClr val="FFFFFF"/>
                  </a:solidFill>
                  <a:latin typeface="Avenir "/>
                  <a:ea typeface="+mn-ea"/>
                  <a:cs typeface="+mn-cs"/>
                </a:rPr>
                <a:pPr marL="0" indent="0" algn="l"/>
                <a:t>B2C</a:t>
              </a:fld>
              <a:endParaRPr lang="en-US" sz="4000" b="0" i="0" u="none" strike="noStrike">
                <a:solidFill>
                  <a:schemeClr val="bg1"/>
                </a:solidFill>
                <a:latin typeface="Avenir "/>
                <a:ea typeface="+mn-ea"/>
                <a:cs typeface="+mn-cs"/>
              </a:endParaRPr>
            </a:p>
          </xdr:txBody>
        </xdr:sp>
        <xdr:sp macro="" textlink="pivots!AL6">
          <xdr:nvSpPr>
            <xdr:cNvPr id="91" name="Rectangle 90">
              <a:extLst>
                <a:ext uri="{FF2B5EF4-FFF2-40B4-BE49-F238E27FC236}">
                  <a16:creationId xmlns:a16="http://schemas.microsoft.com/office/drawing/2014/main" xmlns="" id="{06430AB5-D7C6-479D-B498-4EB08AB7F851}"/>
                </a:ext>
              </a:extLst>
            </xdr:cNvPr>
            <xdr:cNvSpPr/>
          </xdr:nvSpPr>
          <xdr:spPr>
            <a:xfrm>
              <a:off x="11887196" y="5715000"/>
              <a:ext cx="1066799" cy="4571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9F98DC5-71D7-430B-A335-9437795F1059}" type="TxLink">
                <a:rPr lang="en-US" sz="1100" b="0" i="0" u="none" strike="noStrike">
                  <a:solidFill>
                    <a:schemeClr val="bg1"/>
                  </a:solidFill>
                  <a:latin typeface="Avenir "/>
                  <a:ea typeface="+mn-ea"/>
                  <a:cs typeface="+mn-cs"/>
                </a:rPr>
                <a:pPr marL="0" indent="0" algn="l"/>
                <a:t>309,808</a:t>
              </a:fld>
              <a:endParaRPr lang="en-US" sz="2000" b="0" i="0" u="none" strike="noStrike">
                <a:solidFill>
                  <a:schemeClr val="bg1"/>
                </a:solidFill>
                <a:latin typeface="Avenir "/>
                <a:ea typeface="+mn-ea"/>
                <a:cs typeface="+mn-cs"/>
              </a:endParaRPr>
            </a:p>
          </xdr:txBody>
        </xdr:sp>
        <xdr:sp macro="" textlink="pivots!AM6">
          <xdr:nvSpPr>
            <xdr:cNvPr id="92" name="Rectangle 91">
              <a:extLst>
                <a:ext uri="{FF2B5EF4-FFF2-40B4-BE49-F238E27FC236}">
                  <a16:creationId xmlns:a16="http://schemas.microsoft.com/office/drawing/2014/main" xmlns="" id="{D8BDCBFD-0D10-407E-B25C-50734393C3CA}"/>
                </a:ext>
              </a:extLst>
            </xdr:cNvPr>
            <xdr:cNvSpPr/>
          </xdr:nvSpPr>
          <xdr:spPr>
            <a:xfrm>
              <a:off x="11925296" y="5924550"/>
              <a:ext cx="1066799" cy="4571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3144139-DDEE-4CC8-A771-F60D3A3C0133}" type="TxLink">
                <a:rPr lang="en-US" sz="1100" b="0" i="0" u="none" strike="noStrike">
                  <a:solidFill>
                    <a:schemeClr val="bg1"/>
                  </a:solidFill>
                  <a:latin typeface="Avenir "/>
                  <a:ea typeface="+mn-ea"/>
                  <a:cs typeface="+mn-cs"/>
                </a:rPr>
                <a:pPr marL="0" indent="0" algn="l"/>
                <a:t>54.18%</a:t>
              </a:fld>
              <a:endParaRPr lang="en-US" sz="2000" b="0" i="0" u="none" strike="noStrike">
                <a:solidFill>
                  <a:schemeClr val="bg1"/>
                </a:solidFill>
                <a:latin typeface="Avenir "/>
                <a:ea typeface="+mn-ea"/>
                <a:cs typeface="+mn-cs"/>
              </a:endParaRPr>
            </a:p>
          </xdr:txBody>
        </xdr:sp>
        <xdr:sp macro="" textlink="pivots!AK5">
          <xdr:nvSpPr>
            <xdr:cNvPr id="93" name="Rectangle 92">
              <a:extLst>
                <a:ext uri="{FF2B5EF4-FFF2-40B4-BE49-F238E27FC236}">
                  <a16:creationId xmlns:a16="http://schemas.microsoft.com/office/drawing/2014/main" xmlns="" id="{A43A1901-2732-41F6-A3E8-56266BE27C90}"/>
                </a:ext>
              </a:extLst>
            </xdr:cNvPr>
            <xdr:cNvSpPr/>
          </xdr:nvSpPr>
          <xdr:spPr>
            <a:xfrm>
              <a:off x="11630021" y="4371975"/>
              <a:ext cx="1066799" cy="4571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71AC8F8-8164-4176-B502-92650ACC12EA}" type="TxLink">
                <a:rPr lang="en-US" sz="2000" b="0" i="0" u="none" strike="noStrike">
                  <a:solidFill>
                    <a:srgbClr val="FFFFFF"/>
                  </a:solidFill>
                  <a:latin typeface="Avenir "/>
                  <a:ea typeface="+mn-ea"/>
                  <a:cs typeface="+mn-cs"/>
                </a:rPr>
                <a:pPr marL="0" indent="0" algn="ctr"/>
                <a:t>B2B</a:t>
              </a:fld>
              <a:endParaRPr lang="en-US" sz="4000" b="0" i="0" u="none" strike="noStrike">
                <a:solidFill>
                  <a:schemeClr val="bg1"/>
                </a:solidFill>
                <a:latin typeface="Avenir "/>
                <a:ea typeface="+mn-ea"/>
                <a:cs typeface="+mn-cs"/>
              </a:endParaRPr>
            </a:p>
          </xdr:txBody>
        </xdr:sp>
        <xdr:sp macro="" textlink="pivots!AM5">
          <xdr:nvSpPr>
            <xdr:cNvPr id="94" name="Rectangle 93">
              <a:extLst>
                <a:ext uri="{FF2B5EF4-FFF2-40B4-BE49-F238E27FC236}">
                  <a16:creationId xmlns:a16="http://schemas.microsoft.com/office/drawing/2014/main" xmlns="" id="{F5CDF0B5-D0DC-49A8-8564-806F8B910F03}"/>
                </a:ext>
              </a:extLst>
            </xdr:cNvPr>
            <xdr:cNvSpPr/>
          </xdr:nvSpPr>
          <xdr:spPr>
            <a:xfrm>
              <a:off x="11649071" y="4867275"/>
              <a:ext cx="1066799" cy="4571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1B0ED36-9FAF-40D0-8E20-359204F2538A}" type="TxLink">
                <a:rPr lang="en-US" sz="1050" b="0" i="0" u="none" strike="noStrike">
                  <a:solidFill>
                    <a:schemeClr val="bg1"/>
                  </a:solidFill>
                  <a:latin typeface="Avenir "/>
                  <a:ea typeface="+mn-ea"/>
                  <a:cs typeface="+mn-cs"/>
                </a:rPr>
                <a:pPr marL="0" indent="0" algn="ctr"/>
                <a:t>45.82%</a:t>
              </a:fld>
              <a:endParaRPr lang="en-US" sz="1800" b="0" i="0" u="none" strike="noStrike">
                <a:solidFill>
                  <a:schemeClr val="bg1"/>
                </a:solidFill>
                <a:latin typeface="Avenir "/>
                <a:ea typeface="+mn-ea"/>
                <a:cs typeface="+mn-cs"/>
              </a:endParaRPr>
            </a:p>
          </xdr:txBody>
        </xdr:sp>
      </xdr:grpSp>
      <xdr:sp macro="" textlink="pivots!AL5">
        <xdr:nvSpPr>
          <xdr:cNvPr id="95" name="Rectangle 94">
            <a:extLst>
              <a:ext uri="{FF2B5EF4-FFF2-40B4-BE49-F238E27FC236}">
                <a16:creationId xmlns:a16="http://schemas.microsoft.com/office/drawing/2014/main" xmlns="" id="{78DA7325-082B-4F81-A090-408F0B08B40A}"/>
              </a:ext>
            </a:extLst>
          </xdr:cNvPr>
          <xdr:cNvSpPr/>
        </xdr:nvSpPr>
        <xdr:spPr>
          <a:xfrm>
            <a:off x="11963400" y="4619625"/>
            <a:ext cx="1066799" cy="4571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FD2D0CB-1BB2-4575-AE85-D1A973AD9624}" type="TxLink">
              <a:rPr lang="en-US" sz="1100" b="0" i="0" u="none" strike="noStrike">
                <a:solidFill>
                  <a:schemeClr val="bg1"/>
                </a:solidFill>
                <a:latin typeface="Avenir "/>
                <a:ea typeface="+mn-ea"/>
                <a:cs typeface="+mn-cs"/>
              </a:rPr>
              <a:pPr marL="0" indent="0" algn="l"/>
              <a:t>262,044</a:t>
            </a:fld>
            <a:endParaRPr lang="en-US" sz="2000" b="0" i="0" u="none" strike="noStrike">
              <a:solidFill>
                <a:schemeClr val="bg1"/>
              </a:solidFill>
              <a:latin typeface="Avenir "/>
              <a:ea typeface="+mn-ea"/>
              <a:cs typeface="+mn-cs"/>
            </a:endParaRPr>
          </a:p>
        </xdr:txBody>
      </xdr:sp>
    </xdr:grpSp>
    <xdr:clientData/>
  </xdr:twoCellAnchor>
  <xdr:twoCellAnchor>
    <xdr:from>
      <xdr:col>5</xdr:col>
      <xdr:colOff>561975</xdr:colOff>
      <xdr:row>8</xdr:row>
      <xdr:rowOff>152400</xdr:rowOff>
    </xdr:from>
    <xdr:to>
      <xdr:col>13</xdr:col>
      <xdr:colOff>581025</xdr:colOff>
      <xdr:row>26</xdr:row>
      <xdr:rowOff>171450</xdr:rowOff>
    </xdr:to>
    <xdr:grpSp>
      <xdr:nvGrpSpPr>
        <xdr:cNvPr id="114" name="Group 113">
          <a:extLst>
            <a:ext uri="{FF2B5EF4-FFF2-40B4-BE49-F238E27FC236}">
              <a16:creationId xmlns:a16="http://schemas.microsoft.com/office/drawing/2014/main" xmlns="" id="{4FE0E1F1-975C-49F1-B7A6-2DFA95634E8B}"/>
            </a:ext>
          </a:extLst>
        </xdr:cNvPr>
        <xdr:cNvGrpSpPr/>
      </xdr:nvGrpSpPr>
      <xdr:grpSpPr>
        <a:xfrm>
          <a:off x="4001558" y="1655233"/>
          <a:ext cx="5522384" cy="3257550"/>
          <a:chOff x="3990975" y="1600200"/>
          <a:chExt cx="5505450" cy="3276600"/>
        </a:xfrm>
      </xdr:grpSpPr>
      <xdr:cxnSp macro="">
        <xdr:nvCxnSpPr>
          <xdr:cNvPr id="36" name="Straight Connector 35">
            <a:extLst>
              <a:ext uri="{FF2B5EF4-FFF2-40B4-BE49-F238E27FC236}">
                <a16:creationId xmlns:a16="http://schemas.microsoft.com/office/drawing/2014/main" xmlns="" id="{6B994C7A-7216-41BA-BB24-987FD4357A0C}"/>
              </a:ext>
            </a:extLst>
          </xdr:cNvPr>
          <xdr:cNvCxnSpPr/>
        </xdr:nvCxnSpPr>
        <xdr:spPr>
          <a:xfrm flipV="1">
            <a:off x="7134225" y="1600200"/>
            <a:ext cx="485775" cy="695325"/>
          </a:xfrm>
          <a:prstGeom prst="line">
            <a:avLst/>
          </a:prstGeom>
          <a:ln>
            <a:gradFill>
              <a:gsLst>
                <a:gs pos="0">
                  <a:srgbClr val="D17DB9"/>
                </a:gs>
                <a:gs pos="100000">
                  <a:srgbClr val="450BE9"/>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99" name="Straight Connector 98">
            <a:extLst>
              <a:ext uri="{FF2B5EF4-FFF2-40B4-BE49-F238E27FC236}">
                <a16:creationId xmlns:a16="http://schemas.microsoft.com/office/drawing/2014/main" xmlns="" id="{29F655F7-2DD7-4EC9-A9EB-8F4D3E012AE1}"/>
              </a:ext>
            </a:extLst>
          </xdr:cNvPr>
          <xdr:cNvCxnSpPr/>
        </xdr:nvCxnSpPr>
        <xdr:spPr>
          <a:xfrm flipV="1">
            <a:off x="7591425" y="2886075"/>
            <a:ext cx="1057275" cy="123826"/>
          </a:xfrm>
          <a:prstGeom prst="line">
            <a:avLst/>
          </a:prstGeom>
          <a:ln>
            <a:gradFill>
              <a:gsLst>
                <a:gs pos="0">
                  <a:srgbClr val="D17DB9"/>
                </a:gs>
                <a:gs pos="100000">
                  <a:srgbClr val="450BE9"/>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00" name="Straight Connector 99">
            <a:extLst>
              <a:ext uri="{FF2B5EF4-FFF2-40B4-BE49-F238E27FC236}">
                <a16:creationId xmlns:a16="http://schemas.microsoft.com/office/drawing/2014/main" xmlns="" id="{47A7A708-B855-4D75-883A-97F581B5828F}"/>
              </a:ext>
            </a:extLst>
          </xdr:cNvPr>
          <xdr:cNvCxnSpPr/>
        </xdr:nvCxnSpPr>
        <xdr:spPr>
          <a:xfrm>
            <a:off x="7534275" y="3381375"/>
            <a:ext cx="1962150" cy="1152525"/>
          </a:xfrm>
          <a:prstGeom prst="line">
            <a:avLst/>
          </a:prstGeom>
          <a:ln>
            <a:gradFill>
              <a:gsLst>
                <a:gs pos="0">
                  <a:srgbClr val="D17DB9"/>
                </a:gs>
                <a:gs pos="100000">
                  <a:srgbClr val="450BE9"/>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01" name="Straight Connector 100">
            <a:extLst>
              <a:ext uri="{FF2B5EF4-FFF2-40B4-BE49-F238E27FC236}">
                <a16:creationId xmlns:a16="http://schemas.microsoft.com/office/drawing/2014/main" xmlns="" id="{2C44FDFA-A659-465D-A962-2810FAB6A129}"/>
              </a:ext>
            </a:extLst>
          </xdr:cNvPr>
          <xdr:cNvCxnSpPr/>
        </xdr:nvCxnSpPr>
        <xdr:spPr>
          <a:xfrm>
            <a:off x="6772275" y="3905250"/>
            <a:ext cx="9525" cy="971550"/>
          </a:xfrm>
          <a:prstGeom prst="line">
            <a:avLst/>
          </a:prstGeom>
          <a:ln>
            <a:gradFill>
              <a:gsLst>
                <a:gs pos="0">
                  <a:srgbClr val="D17DB9"/>
                </a:gs>
                <a:gs pos="100000">
                  <a:srgbClr val="450BE9"/>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a:extLst>
              <a:ext uri="{FF2B5EF4-FFF2-40B4-BE49-F238E27FC236}">
                <a16:creationId xmlns:a16="http://schemas.microsoft.com/office/drawing/2014/main" xmlns="" id="{D110E1E7-09EF-4930-BE13-0726670B9F96}"/>
              </a:ext>
            </a:extLst>
          </xdr:cNvPr>
          <xdr:cNvCxnSpPr/>
        </xdr:nvCxnSpPr>
        <xdr:spPr>
          <a:xfrm flipH="1" flipV="1">
            <a:off x="4943475" y="2038350"/>
            <a:ext cx="1162052" cy="504828"/>
          </a:xfrm>
          <a:prstGeom prst="line">
            <a:avLst/>
          </a:prstGeom>
          <a:ln>
            <a:gradFill>
              <a:gsLst>
                <a:gs pos="0">
                  <a:srgbClr val="D17DB9"/>
                </a:gs>
                <a:gs pos="100000">
                  <a:srgbClr val="450BE9"/>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98" name="Straight Connector 97">
            <a:extLst>
              <a:ext uri="{FF2B5EF4-FFF2-40B4-BE49-F238E27FC236}">
                <a16:creationId xmlns:a16="http://schemas.microsoft.com/office/drawing/2014/main" xmlns="" id="{9D0EB2F6-1A17-455E-905B-6795B7D7F460}"/>
              </a:ext>
            </a:extLst>
          </xdr:cNvPr>
          <xdr:cNvCxnSpPr/>
        </xdr:nvCxnSpPr>
        <xdr:spPr>
          <a:xfrm flipH="1">
            <a:off x="3990975" y="3295650"/>
            <a:ext cx="1962150" cy="752475"/>
          </a:xfrm>
          <a:prstGeom prst="line">
            <a:avLst/>
          </a:prstGeom>
          <a:ln>
            <a:gradFill>
              <a:gsLst>
                <a:gs pos="0">
                  <a:srgbClr val="D17DB9"/>
                </a:gs>
                <a:gs pos="100000">
                  <a:srgbClr val="450BE9"/>
                </a:gs>
              </a:gsLst>
              <a:lin ang="5400000" scaled="1"/>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133350</xdr:colOff>
      <xdr:row>4</xdr:row>
      <xdr:rowOff>171450</xdr:rowOff>
    </xdr:from>
    <xdr:to>
      <xdr:col>18</xdr:col>
      <xdr:colOff>590550</xdr:colOff>
      <xdr:row>30</xdr:row>
      <xdr:rowOff>38100</xdr:rowOff>
    </xdr:to>
    <xdr:grpSp>
      <xdr:nvGrpSpPr>
        <xdr:cNvPr id="35" name="Group 34">
          <a:extLst>
            <a:ext uri="{FF2B5EF4-FFF2-40B4-BE49-F238E27FC236}">
              <a16:creationId xmlns:a16="http://schemas.microsoft.com/office/drawing/2014/main" xmlns="" id="{53C6A1EB-97DF-4DC0-B48C-C0ADBE89F8E8}"/>
            </a:ext>
          </a:extLst>
        </xdr:cNvPr>
        <xdr:cNvGrpSpPr/>
      </xdr:nvGrpSpPr>
      <xdr:grpSpPr>
        <a:xfrm>
          <a:off x="2885017" y="954617"/>
          <a:ext cx="10088033" cy="4544483"/>
          <a:chOff x="2847975" y="857250"/>
          <a:chExt cx="10058400" cy="4572000"/>
        </a:xfrm>
      </xdr:grpSpPr>
      <xdr:graphicFrame macro="">
        <xdr:nvGraphicFramePr>
          <xdr:cNvPr id="21" name="Chart 20">
            <a:extLst>
              <a:ext uri="{FF2B5EF4-FFF2-40B4-BE49-F238E27FC236}">
                <a16:creationId xmlns:a16="http://schemas.microsoft.com/office/drawing/2014/main" xmlns="" id="{029E5FBF-3755-4283-83FC-1CDEB2B6B0A4}"/>
              </a:ext>
            </a:extLst>
          </xdr:cNvPr>
          <xdr:cNvGraphicFramePr>
            <a:graphicFrameLocks/>
          </xdr:cNvGraphicFramePr>
        </xdr:nvGraphicFramePr>
        <xdr:xfrm>
          <a:off x="2847975" y="857250"/>
          <a:ext cx="10058400" cy="4572000"/>
        </xdr:xfrm>
        <a:graphic>
          <a:graphicData uri="http://schemas.openxmlformats.org/drawingml/2006/chart">
            <c:chart xmlns:c="http://schemas.openxmlformats.org/drawingml/2006/chart" xmlns:r="http://schemas.openxmlformats.org/officeDocument/2006/relationships" r:id="rId13"/>
          </a:graphicData>
        </a:graphic>
      </xdr:graphicFrame>
      <xdr:grpSp>
        <xdr:nvGrpSpPr>
          <xdr:cNvPr id="13" name="Group 12">
            <a:extLst>
              <a:ext uri="{FF2B5EF4-FFF2-40B4-BE49-F238E27FC236}">
                <a16:creationId xmlns:a16="http://schemas.microsoft.com/office/drawing/2014/main" xmlns="" id="{E303A49D-2FB2-4C84-B447-D9862BA9259B}"/>
              </a:ext>
            </a:extLst>
          </xdr:cNvPr>
          <xdr:cNvGrpSpPr/>
        </xdr:nvGrpSpPr>
        <xdr:grpSpPr>
          <a:xfrm>
            <a:off x="6048375" y="2638426"/>
            <a:ext cx="1343025" cy="676273"/>
            <a:chOff x="6153150" y="2562226"/>
            <a:chExt cx="1343025" cy="676273"/>
          </a:xfrm>
        </xdr:grpSpPr>
        <xdr:sp macro="" textlink="pivots!S5">
          <xdr:nvSpPr>
            <xdr:cNvPr id="27" name="TextBox 26">
              <a:extLst>
                <a:ext uri="{FF2B5EF4-FFF2-40B4-BE49-F238E27FC236}">
                  <a16:creationId xmlns:a16="http://schemas.microsoft.com/office/drawing/2014/main" xmlns="" id="{9B7BD2C7-3EA9-49D4-A44E-48D8B9588852}"/>
                </a:ext>
              </a:extLst>
            </xdr:cNvPr>
            <xdr:cNvSpPr txBox="1"/>
          </xdr:nvSpPr>
          <xdr:spPr>
            <a:xfrm>
              <a:off x="6153150" y="2562226"/>
              <a:ext cx="1343025" cy="438150"/>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B84F1D-2F38-41B2-9EB9-AF37EB81EE9F}" type="TxLink">
                <a:rPr lang="en-US" sz="3200" b="0" i="0" u="none" strike="noStrike">
                  <a:solidFill>
                    <a:schemeClr val="bg1"/>
                  </a:solidFill>
                  <a:latin typeface="Avenir "/>
                  <a:cs typeface="Arial" panose="020B0604020202020204" pitchFamily="34" charset="0"/>
                </a:rPr>
                <a:pPr algn="ctr"/>
                <a:t>82%</a:t>
              </a:fld>
              <a:endParaRPr lang="en-US" sz="3200">
                <a:solidFill>
                  <a:schemeClr val="bg1"/>
                </a:solidFill>
                <a:latin typeface="+mj-lt"/>
                <a:cs typeface="Arial" panose="020B0604020202020204" pitchFamily="34" charset="0"/>
              </a:endParaRPr>
            </a:p>
          </xdr:txBody>
        </xdr:sp>
        <xdr:sp macro="" textlink="">
          <xdr:nvSpPr>
            <xdr:cNvPr id="28" name="TextBox 27">
              <a:extLst>
                <a:ext uri="{FF2B5EF4-FFF2-40B4-BE49-F238E27FC236}">
                  <a16:creationId xmlns:a16="http://schemas.microsoft.com/office/drawing/2014/main" xmlns="" id="{2F11779A-7D96-416A-987D-334E3CB10AA9}"/>
                </a:ext>
              </a:extLst>
            </xdr:cNvPr>
            <xdr:cNvSpPr txBox="1"/>
          </xdr:nvSpPr>
          <xdr:spPr>
            <a:xfrm>
              <a:off x="6248401" y="2962274"/>
              <a:ext cx="1238250" cy="27622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0" i="0" u="none" strike="noStrike">
                  <a:solidFill>
                    <a:schemeClr val="bg1"/>
                  </a:solidFill>
                  <a:latin typeface="+mj-lt"/>
                  <a:cs typeface="Arial" panose="020B0604020202020204" pitchFamily="34" charset="0"/>
                </a:rPr>
                <a:t>Income Acheived</a:t>
              </a:r>
            </a:p>
            <a:p>
              <a:pPr algn="l"/>
              <a:endParaRPr lang="en-US" sz="1050" b="0" i="0" u="none" strike="noStrike">
                <a:solidFill>
                  <a:schemeClr val="bg1"/>
                </a:solidFill>
                <a:latin typeface="+mj-lt"/>
                <a:cs typeface="Arial" panose="020B0604020202020204" pitchFamily="34" charset="0"/>
              </a:endParaRPr>
            </a:p>
          </xdr:txBody>
        </xdr:sp>
      </xdr:grpSp>
    </xdr:grpSp>
    <xdr:clientData/>
  </xdr:twoCellAnchor>
  <xdr:twoCellAnchor>
    <xdr:from>
      <xdr:col>9</xdr:col>
      <xdr:colOff>266700</xdr:colOff>
      <xdr:row>27</xdr:row>
      <xdr:rowOff>161925</xdr:rowOff>
    </xdr:from>
    <xdr:to>
      <xdr:col>11</xdr:col>
      <xdr:colOff>9525</xdr:colOff>
      <xdr:row>29</xdr:row>
      <xdr:rowOff>95250</xdr:rowOff>
    </xdr:to>
    <xdr:sp macro="" textlink="pivots!G6">
      <xdr:nvSpPr>
        <xdr:cNvPr id="141" name="TextBox 140">
          <a:extLst>
            <a:ext uri="{FF2B5EF4-FFF2-40B4-BE49-F238E27FC236}">
              <a16:creationId xmlns:a16="http://schemas.microsoft.com/office/drawing/2014/main" xmlns="" id="{12A23E66-989C-4E46-AA7E-9974FC17865A}"/>
            </a:ext>
          </a:extLst>
        </xdr:cNvPr>
        <xdr:cNvSpPr txBox="1"/>
      </xdr:nvSpPr>
      <xdr:spPr>
        <a:xfrm>
          <a:off x="6438900" y="5048250"/>
          <a:ext cx="1114425" cy="2952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A073F7E-A41B-4A4B-A61A-67503F82BC31}" type="TxLink">
            <a:rPr lang="en-US" sz="900" b="0" i="0" u="none" strike="noStrike">
              <a:solidFill>
                <a:schemeClr val="bg1"/>
              </a:solidFill>
              <a:latin typeface="+mn-lt"/>
              <a:ea typeface="+mn-ea"/>
              <a:cs typeface="Arial" panose="020B0604020202020204" pitchFamily="34" charset="0"/>
            </a:rPr>
            <a:pPr marL="0" indent="0" algn="l"/>
            <a:t>Licensing</a:t>
          </a:fld>
          <a:endParaRPr lang="en-US" sz="900" b="0" i="0" u="none" strike="noStrike">
            <a:solidFill>
              <a:schemeClr val="bg1"/>
            </a:solidFill>
            <a:latin typeface="+mn-lt"/>
            <a:ea typeface="+mn-ea"/>
            <a:cs typeface="Arial" panose="020B0604020202020204" pitchFamily="34" charset="0"/>
          </a:endParaRPr>
        </a:p>
      </xdr:txBody>
    </xdr:sp>
    <xdr:clientData/>
  </xdr:twoCellAnchor>
  <xdr:twoCellAnchor>
    <xdr:from>
      <xdr:col>13</xdr:col>
      <xdr:colOff>428625</xdr:colOff>
      <xdr:row>25</xdr:row>
      <xdr:rowOff>57150</xdr:rowOff>
    </xdr:from>
    <xdr:to>
      <xdr:col>15</xdr:col>
      <xdr:colOff>171450</xdr:colOff>
      <xdr:row>26</xdr:row>
      <xdr:rowOff>171450</xdr:rowOff>
    </xdr:to>
    <xdr:sp macro="" textlink="pivots!G5">
      <xdr:nvSpPr>
        <xdr:cNvPr id="142" name="TextBox 141">
          <a:extLst>
            <a:ext uri="{FF2B5EF4-FFF2-40B4-BE49-F238E27FC236}">
              <a16:creationId xmlns:a16="http://schemas.microsoft.com/office/drawing/2014/main" xmlns="" id="{34C08EB4-64C4-4F7D-9011-2DC777AC47D9}"/>
            </a:ext>
          </a:extLst>
        </xdr:cNvPr>
        <xdr:cNvSpPr txBox="1"/>
      </xdr:nvSpPr>
      <xdr:spPr>
        <a:xfrm>
          <a:off x="9344025" y="4581525"/>
          <a:ext cx="1114425" cy="2952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3AEC80C-2058-4EAE-BE51-522DA62BBB4C}" type="TxLink">
            <a:rPr lang="en-US" sz="900" b="0" i="0" u="none" strike="noStrike">
              <a:solidFill>
                <a:schemeClr val="bg1"/>
              </a:solidFill>
              <a:latin typeface="+mn-lt"/>
              <a:ea typeface="+mn-ea"/>
              <a:cs typeface="Arial" panose="020B0604020202020204" pitchFamily="34" charset="0"/>
            </a:rPr>
            <a:pPr marL="0" indent="0" algn="l"/>
            <a:t>Asset sale</a:t>
          </a:fld>
          <a:endParaRPr lang="en-US" sz="900" b="0" i="0" u="none" strike="noStrike">
            <a:solidFill>
              <a:schemeClr val="bg1"/>
            </a:solidFill>
            <a:latin typeface="+mn-lt"/>
            <a:ea typeface="+mn-ea"/>
            <a:cs typeface="Arial" panose="020B0604020202020204" pitchFamily="34" charset="0"/>
          </a:endParaRPr>
        </a:p>
      </xdr:txBody>
    </xdr:sp>
    <xdr:clientData/>
  </xdr:twoCellAnchor>
  <xdr:twoCellAnchor>
    <xdr:from>
      <xdr:col>12</xdr:col>
      <xdr:colOff>123825</xdr:colOff>
      <xdr:row>15</xdr:row>
      <xdr:rowOff>142875</xdr:rowOff>
    </xdr:from>
    <xdr:to>
      <xdr:col>13</xdr:col>
      <xdr:colOff>552450</xdr:colOff>
      <xdr:row>17</xdr:row>
      <xdr:rowOff>76200</xdr:rowOff>
    </xdr:to>
    <xdr:sp macro="" textlink="pivots!G8">
      <xdr:nvSpPr>
        <xdr:cNvPr id="143" name="TextBox 142">
          <a:extLst>
            <a:ext uri="{FF2B5EF4-FFF2-40B4-BE49-F238E27FC236}">
              <a16:creationId xmlns:a16="http://schemas.microsoft.com/office/drawing/2014/main" xmlns="" id="{2D5795B3-8D4D-46EC-AF88-53D596C8939A}"/>
            </a:ext>
          </a:extLst>
        </xdr:cNvPr>
        <xdr:cNvSpPr txBox="1"/>
      </xdr:nvSpPr>
      <xdr:spPr>
        <a:xfrm>
          <a:off x="8353425" y="2857500"/>
          <a:ext cx="1114425" cy="2952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6FF8461-3A90-413C-ACC8-BB91DFA109F2}" type="TxLink">
            <a:rPr lang="en-US" sz="900" b="0" i="0" u="none" strike="noStrike">
              <a:solidFill>
                <a:schemeClr val="bg1"/>
              </a:solidFill>
              <a:latin typeface="+mn-lt"/>
              <a:ea typeface="+mn-ea"/>
              <a:cs typeface="Arial" panose="020B0604020202020204" pitchFamily="34" charset="0"/>
            </a:rPr>
            <a:pPr marL="0" indent="0" algn="l"/>
            <a:t>Subscription</a:t>
          </a:fld>
          <a:endParaRPr lang="en-US" sz="900" b="0" i="0" u="none" strike="noStrike">
            <a:solidFill>
              <a:schemeClr val="bg1"/>
            </a:solidFill>
            <a:latin typeface="+mn-lt"/>
            <a:ea typeface="+mn-ea"/>
            <a:cs typeface="Arial" panose="020B0604020202020204" pitchFamily="34" charset="0"/>
          </a:endParaRPr>
        </a:p>
      </xdr:txBody>
    </xdr:sp>
    <xdr:clientData/>
  </xdr:twoCellAnchor>
  <xdr:twoCellAnchor>
    <xdr:from>
      <xdr:col>10</xdr:col>
      <xdr:colOff>523875</xdr:colOff>
      <xdr:row>8</xdr:row>
      <xdr:rowOff>123825</xdr:rowOff>
    </xdr:from>
    <xdr:to>
      <xdr:col>12</xdr:col>
      <xdr:colOff>266700</xdr:colOff>
      <xdr:row>10</xdr:row>
      <xdr:rowOff>57150</xdr:rowOff>
    </xdr:to>
    <xdr:sp macro="" textlink="pivots!G9">
      <xdr:nvSpPr>
        <xdr:cNvPr id="144" name="TextBox 143">
          <a:extLst>
            <a:ext uri="{FF2B5EF4-FFF2-40B4-BE49-F238E27FC236}">
              <a16:creationId xmlns:a16="http://schemas.microsoft.com/office/drawing/2014/main" xmlns="" id="{1E99003D-4BF9-46E8-BC48-E1B298075C84}"/>
            </a:ext>
          </a:extLst>
        </xdr:cNvPr>
        <xdr:cNvSpPr txBox="1"/>
      </xdr:nvSpPr>
      <xdr:spPr>
        <a:xfrm>
          <a:off x="7381875" y="1571625"/>
          <a:ext cx="1114425" cy="2952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7D40F6C-9655-413F-A7E9-3FFE251878CA}" type="TxLink">
            <a:rPr lang="en-US" sz="900" b="0" i="0" u="none" strike="noStrike">
              <a:solidFill>
                <a:schemeClr val="bg1"/>
              </a:solidFill>
              <a:latin typeface="+mn-lt"/>
              <a:ea typeface="+mn-ea"/>
              <a:cs typeface="Arial" panose="020B0604020202020204" pitchFamily="34" charset="0"/>
            </a:rPr>
            <a:pPr marL="0" indent="0" algn="l"/>
            <a:t>Usage fees</a:t>
          </a:fld>
          <a:endParaRPr lang="en-US" sz="900" b="0" i="0" u="none" strike="noStrike">
            <a:solidFill>
              <a:schemeClr val="bg1"/>
            </a:solidFill>
            <a:latin typeface="+mn-lt"/>
            <a:ea typeface="+mn-ea"/>
            <a:cs typeface="Arial" panose="020B0604020202020204" pitchFamily="34" charset="0"/>
          </a:endParaRPr>
        </a:p>
      </xdr:txBody>
    </xdr:sp>
    <xdr:clientData/>
  </xdr:twoCellAnchor>
  <xdr:twoCellAnchor>
    <xdr:from>
      <xdr:col>6</xdr:col>
      <xdr:colOff>390525</xdr:colOff>
      <xdr:row>11</xdr:row>
      <xdr:rowOff>9525</xdr:rowOff>
    </xdr:from>
    <xdr:to>
      <xdr:col>7</xdr:col>
      <xdr:colOff>571500</xdr:colOff>
      <xdr:row>13</xdr:row>
      <xdr:rowOff>19050</xdr:rowOff>
    </xdr:to>
    <xdr:sp macro="" textlink="pivots!G7">
      <xdr:nvSpPr>
        <xdr:cNvPr id="145" name="TextBox 144">
          <a:extLst>
            <a:ext uri="{FF2B5EF4-FFF2-40B4-BE49-F238E27FC236}">
              <a16:creationId xmlns:a16="http://schemas.microsoft.com/office/drawing/2014/main" xmlns="" id="{3D84E5C2-CF93-4D9A-9CE7-404325019E2B}"/>
            </a:ext>
          </a:extLst>
        </xdr:cNvPr>
        <xdr:cNvSpPr txBox="1"/>
      </xdr:nvSpPr>
      <xdr:spPr>
        <a:xfrm>
          <a:off x="4505325" y="2000250"/>
          <a:ext cx="866775" cy="3714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196D9B9-F9F5-4993-8E6D-325D0C1B91FE}" type="TxLink">
            <a:rPr lang="en-US" sz="900" b="0" i="0" u="none" strike="noStrike">
              <a:solidFill>
                <a:schemeClr val="bg1"/>
              </a:solidFill>
              <a:latin typeface="+mn-lt"/>
              <a:ea typeface="+mn-ea"/>
              <a:cs typeface="Arial" panose="020B0604020202020204" pitchFamily="34" charset="0"/>
            </a:rPr>
            <a:pPr marL="0" indent="0" algn="l"/>
            <a:t>Renting</a:t>
          </a:fld>
          <a:endParaRPr lang="en-US" sz="900" b="0" i="0" u="none" strike="noStrike">
            <a:solidFill>
              <a:schemeClr val="bg1"/>
            </a:solidFill>
            <a:latin typeface="+mn-lt"/>
            <a:ea typeface="+mn-ea"/>
            <a:cs typeface="Arial" panose="020B0604020202020204" pitchFamily="34" charset="0"/>
          </a:endParaRPr>
        </a:p>
      </xdr:txBody>
    </xdr:sp>
    <xdr:clientData fLocksWithSheet="0"/>
  </xdr:twoCellAnchor>
  <xdr:twoCellAnchor>
    <xdr:from>
      <xdr:col>5</xdr:col>
      <xdr:colOff>28575</xdr:colOff>
      <xdr:row>22</xdr:row>
      <xdr:rowOff>161925</xdr:rowOff>
    </xdr:from>
    <xdr:to>
      <xdr:col>6</xdr:col>
      <xdr:colOff>457200</xdr:colOff>
      <xdr:row>24</xdr:row>
      <xdr:rowOff>95250</xdr:rowOff>
    </xdr:to>
    <xdr:sp macro="" textlink="pivots!G4">
      <xdr:nvSpPr>
        <xdr:cNvPr id="146" name="TextBox 145">
          <a:extLst>
            <a:ext uri="{FF2B5EF4-FFF2-40B4-BE49-F238E27FC236}">
              <a16:creationId xmlns:a16="http://schemas.microsoft.com/office/drawing/2014/main" xmlns="" id="{EF2ED16E-F7E7-43B1-9F8C-355BC67CC6ED}"/>
            </a:ext>
          </a:extLst>
        </xdr:cNvPr>
        <xdr:cNvSpPr txBox="1"/>
      </xdr:nvSpPr>
      <xdr:spPr>
        <a:xfrm>
          <a:off x="3457575" y="4143375"/>
          <a:ext cx="1114425" cy="2952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2E14E30-8BE6-4A2A-A0D8-76621A3458F8}" type="TxLink">
            <a:rPr lang="en-US" sz="900" b="0" i="0" u="none" strike="noStrike">
              <a:solidFill>
                <a:schemeClr val="bg1"/>
              </a:solidFill>
              <a:latin typeface="+mn-lt"/>
              <a:cs typeface="Arial" panose="020B0604020202020204" pitchFamily="34" charset="0"/>
            </a:rPr>
            <a:pPr algn="l"/>
            <a:t>Advertising</a:t>
          </a:fld>
          <a:endParaRPr lang="en-US" sz="1200">
            <a:solidFill>
              <a:schemeClr val="bg1"/>
            </a:solidFill>
            <a:latin typeface="+mn-lt"/>
            <a:cs typeface="Arial" panose="020B0604020202020204" pitchFamily="34" charset="0"/>
          </a:endParaRPr>
        </a:p>
      </xdr:txBody>
    </xdr:sp>
    <xdr:clientData/>
  </xdr:twoCellAnchor>
  <xdr:twoCellAnchor>
    <xdr:from>
      <xdr:col>12</xdr:col>
      <xdr:colOff>676275</xdr:colOff>
      <xdr:row>11</xdr:row>
      <xdr:rowOff>133348</xdr:rowOff>
    </xdr:from>
    <xdr:to>
      <xdr:col>14</xdr:col>
      <xdr:colOff>600075</xdr:colOff>
      <xdr:row>15</xdr:row>
      <xdr:rowOff>85726</xdr:rowOff>
    </xdr:to>
    <xdr:grpSp>
      <xdr:nvGrpSpPr>
        <xdr:cNvPr id="148" name="Group 147">
          <a:extLst>
            <a:ext uri="{FF2B5EF4-FFF2-40B4-BE49-F238E27FC236}">
              <a16:creationId xmlns:a16="http://schemas.microsoft.com/office/drawing/2014/main" xmlns="" id="{6FC017DD-1EE4-4939-ABA6-1A6DE2BD39A0}"/>
            </a:ext>
          </a:extLst>
        </xdr:cNvPr>
        <xdr:cNvGrpSpPr/>
      </xdr:nvGrpSpPr>
      <xdr:grpSpPr>
        <a:xfrm>
          <a:off x="8931275" y="2175931"/>
          <a:ext cx="1299633" cy="672045"/>
          <a:chOff x="9039225" y="2019298"/>
          <a:chExt cx="1295400" cy="676278"/>
        </a:xfrm>
      </xdr:grpSpPr>
      <xdr:cxnSp macro="">
        <xdr:nvCxnSpPr>
          <xdr:cNvPr id="123" name="Straight Connector 122">
            <a:extLst>
              <a:ext uri="{FF2B5EF4-FFF2-40B4-BE49-F238E27FC236}">
                <a16:creationId xmlns:a16="http://schemas.microsoft.com/office/drawing/2014/main" xmlns="" id="{85ED445A-A265-4C7F-9739-9FDDE3A52692}"/>
              </a:ext>
            </a:extLst>
          </xdr:cNvPr>
          <xdr:cNvCxnSpPr/>
        </xdr:nvCxnSpPr>
        <xdr:spPr>
          <a:xfrm flipV="1">
            <a:off x="9039225" y="2409825"/>
            <a:ext cx="600075" cy="285751"/>
          </a:xfrm>
          <a:prstGeom prst="line">
            <a:avLst/>
          </a:prstGeom>
          <a:ln w="9525">
            <a:gradFill>
              <a:gsLst>
                <a:gs pos="82000">
                  <a:srgbClr val="95F3DA"/>
                </a:gs>
                <a:gs pos="0">
                  <a:srgbClr val="450BE9"/>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s!O8">
        <xdr:nvSpPr>
          <xdr:cNvPr id="134" name="Circle: Hollow 133">
            <a:extLst>
              <a:ext uri="{FF2B5EF4-FFF2-40B4-BE49-F238E27FC236}">
                <a16:creationId xmlns:a16="http://schemas.microsoft.com/office/drawing/2014/main" xmlns="" id="{29778F1E-C089-4C39-B83A-51070CFC5177}"/>
              </a:ext>
            </a:extLst>
          </xdr:cNvPr>
          <xdr:cNvSpPr/>
        </xdr:nvSpPr>
        <xdr:spPr>
          <a:xfrm>
            <a:off x="9563101" y="2019298"/>
            <a:ext cx="504823" cy="484632"/>
          </a:xfrm>
          <a:prstGeom prst="donut">
            <a:avLst>
              <a:gd name="adj" fmla="val 5346"/>
            </a:avLst>
          </a:prstGeom>
          <a:solidFill>
            <a:srgbClr val="95F3D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2BA3585-1A26-46DD-9DC3-750392FD916A}" type="TxLink">
              <a:rPr lang="en-US" sz="1100" b="0" i="0" u="none" strike="noStrike">
                <a:solidFill>
                  <a:srgbClr val="000000"/>
                </a:solidFill>
                <a:latin typeface="Avenir "/>
              </a:rPr>
              <a:pPr algn="l"/>
              <a:t>16%</a:t>
            </a:fld>
            <a:endParaRPr lang="en-US" sz="1100">
              <a:solidFill>
                <a:schemeClr val="tx1"/>
              </a:solidFill>
            </a:endParaRPr>
          </a:p>
        </xdr:txBody>
      </xdr:sp>
      <xdr:sp macro="" textlink="pivots!O8">
        <xdr:nvSpPr>
          <xdr:cNvPr id="147" name="TextBox 146">
            <a:extLst>
              <a:ext uri="{FF2B5EF4-FFF2-40B4-BE49-F238E27FC236}">
                <a16:creationId xmlns:a16="http://schemas.microsoft.com/office/drawing/2014/main" xmlns="" id="{AC8F31F5-E697-403B-86A7-5565BEF27D3B}"/>
              </a:ext>
            </a:extLst>
          </xdr:cNvPr>
          <xdr:cNvSpPr txBox="1"/>
        </xdr:nvSpPr>
        <xdr:spPr>
          <a:xfrm>
            <a:off x="9515474" y="2085973"/>
            <a:ext cx="819151" cy="2952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8394CD5-11F1-465C-9E20-CA57BBD203CA}" type="TxLink">
              <a:rPr lang="en-US" sz="1400" b="0" i="0" u="none" strike="noStrike">
                <a:solidFill>
                  <a:schemeClr val="bg1"/>
                </a:solidFill>
                <a:latin typeface="Avenir "/>
                <a:ea typeface="+mn-ea"/>
                <a:cs typeface="Arial" panose="020B0604020202020204" pitchFamily="34" charset="0"/>
              </a:rPr>
              <a:pPr marL="0" indent="0" algn="l"/>
              <a:t>16%</a:t>
            </a:fld>
            <a:endParaRPr lang="en-US" sz="1050" b="0" i="0" u="none" strike="noStrike">
              <a:solidFill>
                <a:schemeClr val="bg1"/>
              </a:solidFill>
              <a:latin typeface="+mn-lt"/>
              <a:ea typeface="+mn-ea"/>
              <a:cs typeface="Arial" panose="020B0604020202020204" pitchFamily="34" charset="0"/>
            </a:endParaRPr>
          </a:p>
        </xdr:txBody>
      </xdr:sp>
    </xdr:grpSp>
    <xdr:clientData/>
  </xdr:twoCellAnchor>
  <xdr:twoCellAnchor>
    <xdr:from>
      <xdr:col>11</xdr:col>
      <xdr:colOff>352425</xdr:colOff>
      <xdr:row>3</xdr:row>
      <xdr:rowOff>133348</xdr:rowOff>
    </xdr:from>
    <xdr:to>
      <xdr:col>12</xdr:col>
      <xdr:colOff>657225</xdr:colOff>
      <xdr:row>7</xdr:row>
      <xdr:rowOff>66675</xdr:rowOff>
    </xdr:to>
    <xdr:grpSp>
      <xdr:nvGrpSpPr>
        <xdr:cNvPr id="150" name="Group 149">
          <a:extLst>
            <a:ext uri="{FF2B5EF4-FFF2-40B4-BE49-F238E27FC236}">
              <a16:creationId xmlns:a16="http://schemas.microsoft.com/office/drawing/2014/main" xmlns="" id="{C19DB3C0-E092-4E68-8FAA-FC0E0957264F}"/>
            </a:ext>
          </a:extLst>
        </xdr:cNvPr>
        <xdr:cNvGrpSpPr/>
      </xdr:nvGrpSpPr>
      <xdr:grpSpPr>
        <a:xfrm>
          <a:off x="7919508" y="673098"/>
          <a:ext cx="992717" cy="716494"/>
          <a:chOff x="9372600" y="2019298"/>
          <a:chExt cx="990600" cy="657227"/>
        </a:xfrm>
      </xdr:grpSpPr>
      <xdr:cxnSp macro="">
        <xdr:nvCxnSpPr>
          <xdr:cNvPr id="151" name="Straight Connector 150">
            <a:extLst>
              <a:ext uri="{FF2B5EF4-FFF2-40B4-BE49-F238E27FC236}">
                <a16:creationId xmlns:a16="http://schemas.microsoft.com/office/drawing/2014/main" xmlns="" id="{29604BD9-A8C3-4DFA-A079-865BC32E29C9}"/>
              </a:ext>
            </a:extLst>
          </xdr:cNvPr>
          <xdr:cNvCxnSpPr>
            <a:endCxn id="152" idx="3"/>
          </xdr:cNvCxnSpPr>
        </xdr:nvCxnSpPr>
        <xdr:spPr>
          <a:xfrm flipV="1">
            <a:off x="9372600" y="2432957"/>
            <a:ext cx="264431" cy="243568"/>
          </a:xfrm>
          <a:prstGeom prst="line">
            <a:avLst/>
          </a:prstGeom>
          <a:ln w="9525">
            <a:gradFill>
              <a:gsLst>
                <a:gs pos="82000">
                  <a:srgbClr val="95F3DA"/>
                </a:gs>
                <a:gs pos="0">
                  <a:srgbClr val="450BE9"/>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s!O8">
        <xdr:nvSpPr>
          <xdr:cNvPr id="152" name="Circle: Hollow 151">
            <a:extLst>
              <a:ext uri="{FF2B5EF4-FFF2-40B4-BE49-F238E27FC236}">
                <a16:creationId xmlns:a16="http://schemas.microsoft.com/office/drawing/2014/main" xmlns="" id="{0C8963D8-F4D4-4B71-8D78-A849715B8888}"/>
              </a:ext>
            </a:extLst>
          </xdr:cNvPr>
          <xdr:cNvSpPr/>
        </xdr:nvSpPr>
        <xdr:spPr>
          <a:xfrm>
            <a:off x="9563101" y="2019298"/>
            <a:ext cx="504823" cy="484632"/>
          </a:xfrm>
          <a:prstGeom prst="donut">
            <a:avLst>
              <a:gd name="adj" fmla="val 5346"/>
            </a:avLst>
          </a:prstGeom>
          <a:solidFill>
            <a:srgbClr val="95F3D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2BA3585-1A26-46DD-9DC3-750392FD916A}" type="TxLink">
              <a:rPr lang="en-US" sz="1100" b="0" i="0" u="none" strike="noStrike">
                <a:solidFill>
                  <a:srgbClr val="000000"/>
                </a:solidFill>
                <a:latin typeface="Avenir "/>
              </a:rPr>
              <a:pPr algn="l"/>
              <a:t>16%</a:t>
            </a:fld>
            <a:endParaRPr lang="en-US" sz="1100">
              <a:solidFill>
                <a:schemeClr val="tx1"/>
              </a:solidFill>
            </a:endParaRPr>
          </a:p>
        </xdr:txBody>
      </xdr:sp>
      <xdr:sp macro="" textlink="pivots!O9">
        <xdr:nvSpPr>
          <xdr:cNvPr id="153" name="TextBox 152">
            <a:extLst>
              <a:ext uri="{FF2B5EF4-FFF2-40B4-BE49-F238E27FC236}">
                <a16:creationId xmlns:a16="http://schemas.microsoft.com/office/drawing/2014/main" xmlns="" id="{C16E6086-7E7F-484B-8198-ACC5ECE3625E}"/>
              </a:ext>
            </a:extLst>
          </xdr:cNvPr>
          <xdr:cNvSpPr txBox="1"/>
        </xdr:nvSpPr>
        <xdr:spPr>
          <a:xfrm>
            <a:off x="9544049" y="2057398"/>
            <a:ext cx="819151" cy="2952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BE5C714-DE4D-4603-989F-8E843EEA3706}" type="TxLink">
              <a:rPr lang="en-US" sz="1400" b="0" i="0" u="none" strike="noStrike">
                <a:solidFill>
                  <a:schemeClr val="bg1"/>
                </a:solidFill>
                <a:latin typeface="Avenir "/>
                <a:ea typeface="+mn-ea"/>
                <a:cs typeface="Arial" panose="020B0604020202020204" pitchFamily="34" charset="0"/>
              </a:rPr>
              <a:pPr marL="0" indent="0" algn="l"/>
              <a:t>15%</a:t>
            </a:fld>
            <a:endParaRPr lang="en-US" sz="1200" b="0" i="0" u="none" strike="noStrike">
              <a:solidFill>
                <a:schemeClr val="bg1"/>
              </a:solidFill>
              <a:latin typeface="+mn-lt"/>
              <a:ea typeface="+mn-ea"/>
              <a:cs typeface="Arial" panose="020B0604020202020204" pitchFamily="34" charset="0"/>
            </a:endParaRPr>
          </a:p>
        </xdr:txBody>
      </xdr:sp>
    </xdr:grpSp>
    <xdr:clientData/>
  </xdr:twoCellAnchor>
  <xdr:twoCellAnchor>
    <xdr:from>
      <xdr:col>5</xdr:col>
      <xdr:colOff>266699</xdr:colOff>
      <xdr:row>6</xdr:row>
      <xdr:rowOff>95249</xdr:rowOff>
    </xdr:from>
    <xdr:to>
      <xdr:col>6</xdr:col>
      <xdr:colOff>438149</xdr:colOff>
      <xdr:row>10</xdr:row>
      <xdr:rowOff>66675</xdr:rowOff>
    </xdr:to>
    <xdr:grpSp>
      <xdr:nvGrpSpPr>
        <xdr:cNvPr id="154" name="Group 153">
          <a:extLst>
            <a:ext uri="{FF2B5EF4-FFF2-40B4-BE49-F238E27FC236}">
              <a16:creationId xmlns:a16="http://schemas.microsoft.com/office/drawing/2014/main" xmlns="" id="{71CF4909-571B-4E0B-B2F3-B9D2A9377705}"/>
            </a:ext>
          </a:extLst>
        </xdr:cNvPr>
        <xdr:cNvGrpSpPr/>
      </xdr:nvGrpSpPr>
      <xdr:grpSpPr>
        <a:xfrm>
          <a:off x="3706282" y="1238249"/>
          <a:ext cx="859367" cy="691093"/>
          <a:chOff x="9515474" y="2019298"/>
          <a:chExt cx="819151" cy="611889"/>
        </a:xfrm>
      </xdr:grpSpPr>
      <xdr:cxnSp macro="">
        <xdr:nvCxnSpPr>
          <xdr:cNvPr id="155" name="Straight Connector 154">
            <a:extLst>
              <a:ext uri="{FF2B5EF4-FFF2-40B4-BE49-F238E27FC236}">
                <a16:creationId xmlns:a16="http://schemas.microsoft.com/office/drawing/2014/main" xmlns="" id="{4857FFE9-A9B7-41DD-8407-E7E52B606B68}"/>
              </a:ext>
            </a:extLst>
          </xdr:cNvPr>
          <xdr:cNvCxnSpPr/>
        </xdr:nvCxnSpPr>
        <xdr:spPr>
          <a:xfrm flipH="1" flipV="1">
            <a:off x="10010777" y="2428875"/>
            <a:ext cx="305645" cy="202312"/>
          </a:xfrm>
          <a:prstGeom prst="line">
            <a:avLst/>
          </a:prstGeom>
          <a:ln w="9525">
            <a:gradFill>
              <a:gsLst>
                <a:gs pos="82000">
                  <a:srgbClr val="95F3DA"/>
                </a:gs>
                <a:gs pos="0">
                  <a:srgbClr val="450BE9"/>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s!O8">
        <xdr:nvSpPr>
          <xdr:cNvPr id="156" name="Circle: Hollow 155">
            <a:extLst>
              <a:ext uri="{FF2B5EF4-FFF2-40B4-BE49-F238E27FC236}">
                <a16:creationId xmlns:a16="http://schemas.microsoft.com/office/drawing/2014/main" xmlns="" id="{1BAD796C-0578-4E25-A605-5B2C1D84383A}"/>
              </a:ext>
            </a:extLst>
          </xdr:cNvPr>
          <xdr:cNvSpPr/>
        </xdr:nvSpPr>
        <xdr:spPr>
          <a:xfrm>
            <a:off x="9563101" y="2019298"/>
            <a:ext cx="504823" cy="484632"/>
          </a:xfrm>
          <a:prstGeom prst="donut">
            <a:avLst>
              <a:gd name="adj" fmla="val 5346"/>
            </a:avLst>
          </a:prstGeom>
          <a:solidFill>
            <a:srgbClr val="95F3D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2BA3585-1A26-46DD-9DC3-750392FD916A}" type="TxLink">
              <a:rPr lang="en-US" sz="1100" b="0" i="0" u="none" strike="noStrike">
                <a:solidFill>
                  <a:srgbClr val="000000"/>
                </a:solidFill>
                <a:latin typeface="Avenir "/>
              </a:rPr>
              <a:pPr algn="l"/>
              <a:t>16%</a:t>
            </a:fld>
            <a:endParaRPr lang="en-US" sz="1100">
              <a:solidFill>
                <a:schemeClr val="tx1"/>
              </a:solidFill>
            </a:endParaRPr>
          </a:p>
        </xdr:txBody>
      </xdr:sp>
      <xdr:sp macro="" textlink="pivots!O7">
        <xdr:nvSpPr>
          <xdr:cNvPr id="157" name="TextBox 156">
            <a:extLst>
              <a:ext uri="{FF2B5EF4-FFF2-40B4-BE49-F238E27FC236}">
                <a16:creationId xmlns:a16="http://schemas.microsoft.com/office/drawing/2014/main" xmlns="" id="{8A069FDB-139D-4DFA-A1F4-9A2BC8B2058C}"/>
              </a:ext>
            </a:extLst>
          </xdr:cNvPr>
          <xdr:cNvSpPr txBox="1"/>
        </xdr:nvSpPr>
        <xdr:spPr>
          <a:xfrm>
            <a:off x="9515474" y="2085973"/>
            <a:ext cx="819151" cy="2952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29B823E-739E-4FA1-A265-5A76860B1387}" type="TxLink">
              <a:rPr lang="en-US" sz="1800" b="0" i="0" u="none" strike="noStrike">
                <a:solidFill>
                  <a:schemeClr val="bg1"/>
                </a:solidFill>
                <a:latin typeface="Avenir "/>
                <a:ea typeface="+mn-ea"/>
                <a:cs typeface="Arial" panose="020B0604020202020204" pitchFamily="34" charset="0"/>
              </a:rPr>
              <a:pPr marL="0" indent="0" algn="l"/>
              <a:t>19%</a:t>
            </a:fld>
            <a:endParaRPr lang="en-US" sz="1600" b="0" i="0" u="none" strike="noStrike">
              <a:solidFill>
                <a:schemeClr val="bg1"/>
              </a:solidFill>
              <a:latin typeface="+mn-lt"/>
              <a:ea typeface="+mn-ea"/>
              <a:cs typeface="Arial" panose="020B0604020202020204" pitchFamily="34" charset="0"/>
            </a:endParaRPr>
          </a:p>
        </xdr:txBody>
      </xdr:sp>
    </xdr:grpSp>
    <xdr:clientData/>
  </xdr:twoCellAnchor>
  <xdr:twoCellAnchor>
    <xdr:from>
      <xdr:col>5</xdr:col>
      <xdr:colOff>142874</xdr:colOff>
      <xdr:row>24</xdr:row>
      <xdr:rowOff>142875</xdr:rowOff>
    </xdr:from>
    <xdr:to>
      <xdr:col>6</xdr:col>
      <xdr:colOff>276225</xdr:colOff>
      <xdr:row>30</xdr:row>
      <xdr:rowOff>103630</xdr:rowOff>
    </xdr:to>
    <xdr:grpSp>
      <xdr:nvGrpSpPr>
        <xdr:cNvPr id="158" name="Group 157">
          <a:extLst>
            <a:ext uri="{FF2B5EF4-FFF2-40B4-BE49-F238E27FC236}">
              <a16:creationId xmlns:a16="http://schemas.microsoft.com/office/drawing/2014/main" xmlns="" id="{C00BB7B4-41B4-42EC-B839-B33A948EB1A9}"/>
            </a:ext>
          </a:extLst>
        </xdr:cNvPr>
        <xdr:cNvGrpSpPr/>
      </xdr:nvGrpSpPr>
      <xdr:grpSpPr>
        <a:xfrm>
          <a:off x="3582457" y="4524375"/>
          <a:ext cx="821268" cy="1040255"/>
          <a:chOff x="9515474" y="1457325"/>
          <a:chExt cx="819151" cy="1046605"/>
        </a:xfrm>
      </xdr:grpSpPr>
      <xdr:cxnSp macro="">
        <xdr:nvCxnSpPr>
          <xdr:cNvPr id="159" name="Straight Connector 158">
            <a:extLst>
              <a:ext uri="{FF2B5EF4-FFF2-40B4-BE49-F238E27FC236}">
                <a16:creationId xmlns:a16="http://schemas.microsoft.com/office/drawing/2014/main" xmlns="" id="{579892B9-5BDE-411C-90D8-5BE73E2ACC94}"/>
              </a:ext>
            </a:extLst>
          </xdr:cNvPr>
          <xdr:cNvCxnSpPr>
            <a:endCxn id="160" idx="0"/>
          </xdr:cNvCxnSpPr>
        </xdr:nvCxnSpPr>
        <xdr:spPr>
          <a:xfrm>
            <a:off x="9791700" y="1457325"/>
            <a:ext cx="23813" cy="561973"/>
          </a:xfrm>
          <a:prstGeom prst="line">
            <a:avLst/>
          </a:prstGeom>
          <a:ln w="9525">
            <a:gradFill>
              <a:gsLst>
                <a:gs pos="82000">
                  <a:srgbClr val="95F3DA"/>
                </a:gs>
                <a:gs pos="0">
                  <a:srgbClr val="450BE9"/>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s!O8">
        <xdr:nvSpPr>
          <xdr:cNvPr id="160" name="Circle: Hollow 159">
            <a:extLst>
              <a:ext uri="{FF2B5EF4-FFF2-40B4-BE49-F238E27FC236}">
                <a16:creationId xmlns:a16="http://schemas.microsoft.com/office/drawing/2014/main" xmlns="" id="{49D0795A-E031-4D7F-83E2-88DE1A4E3762}"/>
              </a:ext>
            </a:extLst>
          </xdr:cNvPr>
          <xdr:cNvSpPr/>
        </xdr:nvSpPr>
        <xdr:spPr>
          <a:xfrm>
            <a:off x="9563101" y="2019298"/>
            <a:ext cx="504823" cy="484632"/>
          </a:xfrm>
          <a:prstGeom prst="donut">
            <a:avLst>
              <a:gd name="adj" fmla="val 5346"/>
            </a:avLst>
          </a:prstGeom>
          <a:solidFill>
            <a:srgbClr val="95F3D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2BA3585-1A26-46DD-9DC3-750392FD916A}" type="TxLink">
              <a:rPr lang="en-US" sz="1100" b="0" i="0" u="none" strike="noStrike">
                <a:solidFill>
                  <a:srgbClr val="000000"/>
                </a:solidFill>
                <a:latin typeface="Avenir "/>
              </a:rPr>
              <a:pPr algn="l"/>
              <a:t>16%</a:t>
            </a:fld>
            <a:endParaRPr lang="en-US" sz="1100">
              <a:solidFill>
                <a:schemeClr val="tx1"/>
              </a:solidFill>
            </a:endParaRPr>
          </a:p>
        </xdr:txBody>
      </xdr:sp>
      <xdr:sp macro="" textlink="pivots!O4">
        <xdr:nvSpPr>
          <xdr:cNvPr id="161" name="TextBox 160">
            <a:extLst>
              <a:ext uri="{FF2B5EF4-FFF2-40B4-BE49-F238E27FC236}">
                <a16:creationId xmlns:a16="http://schemas.microsoft.com/office/drawing/2014/main" xmlns="" id="{FBDD263D-4915-44E1-91C9-F481FFFCA3D9}"/>
              </a:ext>
            </a:extLst>
          </xdr:cNvPr>
          <xdr:cNvSpPr txBox="1"/>
        </xdr:nvSpPr>
        <xdr:spPr>
          <a:xfrm>
            <a:off x="9515474" y="2057398"/>
            <a:ext cx="819151" cy="2952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FC57A15-9422-4046-A0AF-DDF4C0914BE4}" type="TxLink">
              <a:rPr lang="en-US" sz="1400" b="0" i="0" u="none" strike="noStrike">
                <a:solidFill>
                  <a:schemeClr val="bg1"/>
                </a:solidFill>
                <a:latin typeface="Avenir "/>
                <a:ea typeface="+mn-ea"/>
                <a:cs typeface="Arial" panose="020B0604020202020204" pitchFamily="34" charset="0"/>
              </a:rPr>
              <a:pPr marL="0" indent="0" algn="l"/>
              <a:t>19%</a:t>
            </a:fld>
            <a:endParaRPr lang="en-US" sz="1200" b="0" i="0" u="none" strike="noStrike">
              <a:solidFill>
                <a:schemeClr val="bg1"/>
              </a:solidFill>
              <a:latin typeface="+mn-lt"/>
              <a:ea typeface="+mn-ea"/>
              <a:cs typeface="Arial" panose="020B0604020202020204" pitchFamily="34" charset="0"/>
            </a:endParaRPr>
          </a:p>
        </xdr:txBody>
      </xdr:sp>
    </xdr:grpSp>
    <xdr:clientData/>
  </xdr:twoCellAnchor>
  <xdr:twoCellAnchor>
    <xdr:from>
      <xdr:col>9</xdr:col>
      <xdr:colOff>676274</xdr:colOff>
      <xdr:row>29</xdr:row>
      <xdr:rowOff>19050</xdr:rowOff>
    </xdr:from>
    <xdr:to>
      <xdr:col>11</xdr:col>
      <xdr:colOff>123825</xdr:colOff>
      <xdr:row>34</xdr:row>
      <xdr:rowOff>46480</xdr:rowOff>
    </xdr:to>
    <xdr:grpSp>
      <xdr:nvGrpSpPr>
        <xdr:cNvPr id="162" name="Group 161">
          <a:extLst>
            <a:ext uri="{FF2B5EF4-FFF2-40B4-BE49-F238E27FC236}">
              <a16:creationId xmlns:a16="http://schemas.microsoft.com/office/drawing/2014/main" xmlns="" id="{9572C211-86DD-4B98-BE1A-CE7F71074A40}"/>
            </a:ext>
          </a:extLst>
        </xdr:cNvPr>
        <xdr:cNvGrpSpPr/>
      </xdr:nvGrpSpPr>
      <xdr:grpSpPr>
        <a:xfrm>
          <a:off x="6867524" y="5300133"/>
          <a:ext cx="823384" cy="927014"/>
          <a:chOff x="9524999" y="1571625"/>
          <a:chExt cx="819151" cy="932305"/>
        </a:xfrm>
      </xdr:grpSpPr>
      <xdr:cxnSp macro="">
        <xdr:nvCxnSpPr>
          <xdr:cNvPr id="163" name="Straight Connector 162">
            <a:extLst>
              <a:ext uri="{FF2B5EF4-FFF2-40B4-BE49-F238E27FC236}">
                <a16:creationId xmlns:a16="http://schemas.microsoft.com/office/drawing/2014/main" xmlns="" id="{EBD57C74-05CC-4287-9C5C-41E57EA83B1C}"/>
              </a:ext>
            </a:extLst>
          </xdr:cNvPr>
          <xdr:cNvCxnSpPr/>
        </xdr:nvCxnSpPr>
        <xdr:spPr>
          <a:xfrm>
            <a:off x="9553575" y="1571625"/>
            <a:ext cx="200025" cy="485775"/>
          </a:xfrm>
          <a:prstGeom prst="line">
            <a:avLst/>
          </a:prstGeom>
          <a:ln w="9525">
            <a:gradFill>
              <a:gsLst>
                <a:gs pos="82000">
                  <a:srgbClr val="95F3DA"/>
                </a:gs>
                <a:gs pos="0">
                  <a:srgbClr val="450BE9"/>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s!O8">
        <xdr:nvSpPr>
          <xdr:cNvPr id="164" name="Circle: Hollow 163">
            <a:extLst>
              <a:ext uri="{FF2B5EF4-FFF2-40B4-BE49-F238E27FC236}">
                <a16:creationId xmlns:a16="http://schemas.microsoft.com/office/drawing/2014/main" xmlns="" id="{877E9E8A-8257-4CA7-9266-EBF23F527EDF}"/>
              </a:ext>
            </a:extLst>
          </xdr:cNvPr>
          <xdr:cNvSpPr/>
        </xdr:nvSpPr>
        <xdr:spPr>
          <a:xfrm>
            <a:off x="9563101" y="2019298"/>
            <a:ext cx="504823" cy="484632"/>
          </a:xfrm>
          <a:prstGeom prst="donut">
            <a:avLst>
              <a:gd name="adj" fmla="val 5346"/>
            </a:avLst>
          </a:prstGeom>
          <a:solidFill>
            <a:srgbClr val="95F3D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2BA3585-1A26-46DD-9DC3-750392FD916A}" type="TxLink">
              <a:rPr lang="en-US" sz="1100" b="0" i="0" u="none" strike="noStrike">
                <a:solidFill>
                  <a:srgbClr val="000000"/>
                </a:solidFill>
                <a:latin typeface="Avenir "/>
              </a:rPr>
              <a:pPr algn="l"/>
              <a:t>16%</a:t>
            </a:fld>
            <a:endParaRPr lang="en-US" sz="1100">
              <a:solidFill>
                <a:schemeClr val="tx1"/>
              </a:solidFill>
            </a:endParaRPr>
          </a:p>
        </xdr:txBody>
      </xdr:sp>
      <xdr:sp macro="" textlink="pivots!O6">
        <xdr:nvSpPr>
          <xdr:cNvPr id="165" name="TextBox 164">
            <a:extLst>
              <a:ext uri="{FF2B5EF4-FFF2-40B4-BE49-F238E27FC236}">
                <a16:creationId xmlns:a16="http://schemas.microsoft.com/office/drawing/2014/main" xmlns="" id="{5323BEB6-CE76-4ACC-AEC0-AFE96B75C01A}"/>
              </a:ext>
            </a:extLst>
          </xdr:cNvPr>
          <xdr:cNvSpPr txBox="1"/>
        </xdr:nvSpPr>
        <xdr:spPr>
          <a:xfrm>
            <a:off x="9524999" y="2057398"/>
            <a:ext cx="819151" cy="2952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A6991A6-6675-4FB1-8B0E-E98C33F06D2C}" type="TxLink">
              <a:rPr lang="en-US" sz="1400" b="0" i="0" u="none" strike="noStrike">
                <a:solidFill>
                  <a:schemeClr val="bg1"/>
                </a:solidFill>
                <a:latin typeface="Avenir "/>
                <a:ea typeface="+mn-ea"/>
                <a:cs typeface="Arial" panose="020B0604020202020204" pitchFamily="34" charset="0"/>
              </a:rPr>
              <a:pPr marL="0" indent="0" algn="l"/>
              <a:t>17%</a:t>
            </a:fld>
            <a:endParaRPr lang="en-US" sz="1200" b="0" i="0" u="none" strike="noStrike">
              <a:solidFill>
                <a:schemeClr val="bg1"/>
              </a:solidFill>
              <a:latin typeface="+mn-lt"/>
              <a:ea typeface="+mn-ea"/>
              <a:cs typeface="Arial" panose="020B0604020202020204" pitchFamily="34" charset="0"/>
            </a:endParaRPr>
          </a:p>
        </xdr:txBody>
      </xdr:sp>
    </xdr:grpSp>
    <xdr:clientData/>
  </xdr:twoCellAnchor>
  <xdr:twoCellAnchor>
    <xdr:from>
      <xdr:col>14</xdr:col>
      <xdr:colOff>295275</xdr:colOff>
      <xdr:row>26</xdr:row>
      <xdr:rowOff>123825</xdr:rowOff>
    </xdr:from>
    <xdr:to>
      <xdr:col>16</xdr:col>
      <xdr:colOff>238125</xdr:colOff>
      <xdr:row>29</xdr:row>
      <xdr:rowOff>94105</xdr:rowOff>
    </xdr:to>
    <xdr:grpSp>
      <xdr:nvGrpSpPr>
        <xdr:cNvPr id="166" name="Group 165">
          <a:extLst>
            <a:ext uri="{FF2B5EF4-FFF2-40B4-BE49-F238E27FC236}">
              <a16:creationId xmlns:a16="http://schemas.microsoft.com/office/drawing/2014/main" xmlns="" id="{FE5E9B00-02AC-4C39-B285-23B8CAFEF5B8}"/>
            </a:ext>
          </a:extLst>
        </xdr:cNvPr>
        <xdr:cNvGrpSpPr/>
      </xdr:nvGrpSpPr>
      <xdr:grpSpPr>
        <a:xfrm>
          <a:off x="9926108" y="4865158"/>
          <a:ext cx="1318684" cy="510030"/>
          <a:chOff x="9039225" y="1990725"/>
          <a:chExt cx="1314450" cy="513205"/>
        </a:xfrm>
      </xdr:grpSpPr>
      <xdr:cxnSp macro="">
        <xdr:nvCxnSpPr>
          <xdr:cNvPr id="167" name="Straight Connector 166">
            <a:extLst>
              <a:ext uri="{FF2B5EF4-FFF2-40B4-BE49-F238E27FC236}">
                <a16:creationId xmlns:a16="http://schemas.microsoft.com/office/drawing/2014/main" xmlns="" id="{1A5C2553-157E-4D64-8FA1-3CC0E9BD751A}"/>
              </a:ext>
            </a:extLst>
          </xdr:cNvPr>
          <xdr:cNvCxnSpPr>
            <a:endCxn id="169" idx="1"/>
          </xdr:cNvCxnSpPr>
        </xdr:nvCxnSpPr>
        <xdr:spPr>
          <a:xfrm>
            <a:off x="9039225" y="1990725"/>
            <a:ext cx="495299" cy="233361"/>
          </a:xfrm>
          <a:prstGeom prst="line">
            <a:avLst/>
          </a:prstGeom>
          <a:ln w="9525">
            <a:gradFill>
              <a:gsLst>
                <a:gs pos="82000">
                  <a:srgbClr val="95F3DA"/>
                </a:gs>
                <a:gs pos="0">
                  <a:srgbClr val="450BE9"/>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s!O8">
        <xdr:nvSpPr>
          <xdr:cNvPr id="168" name="Circle: Hollow 167">
            <a:extLst>
              <a:ext uri="{FF2B5EF4-FFF2-40B4-BE49-F238E27FC236}">
                <a16:creationId xmlns:a16="http://schemas.microsoft.com/office/drawing/2014/main" xmlns="" id="{8F053FAB-F1E7-42BD-89A9-1DB3A1DE9DEA}"/>
              </a:ext>
            </a:extLst>
          </xdr:cNvPr>
          <xdr:cNvSpPr/>
        </xdr:nvSpPr>
        <xdr:spPr>
          <a:xfrm>
            <a:off x="9563101" y="2019298"/>
            <a:ext cx="504823" cy="484632"/>
          </a:xfrm>
          <a:prstGeom prst="donut">
            <a:avLst>
              <a:gd name="adj" fmla="val 5346"/>
            </a:avLst>
          </a:prstGeom>
          <a:solidFill>
            <a:srgbClr val="95F3D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2BA3585-1A26-46DD-9DC3-750392FD916A}" type="TxLink">
              <a:rPr lang="en-US" sz="1100" b="0" i="0" u="none" strike="noStrike">
                <a:solidFill>
                  <a:srgbClr val="000000"/>
                </a:solidFill>
                <a:latin typeface="Avenir "/>
              </a:rPr>
              <a:pPr algn="l"/>
              <a:t>16%</a:t>
            </a:fld>
            <a:endParaRPr lang="en-US" sz="1100">
              <a:solidFill>
                <a:schemeClr val="tx1"/>
              </a:solidFill>
            </a:endParaRPr>
          </a:p>
        </xdr:txBody>
      </xdr:sp>
      <xdr:sp macro="" textlink="pivots!O5">
        <xdr:nvSpPr>
          <xdr:cNvPr id="169" name="TextBox 168">
            <a:extLst>
              <a:ext uri="{FF2B5EF4-FFF2-40B4-BE49-F238E27FC236}">
                <a16:creationId xmlns:a16="http://schemas.microsoft.com/office/drawing/2014/main" xmlns="" id="{D8BCE457-5EC8-4560-9F12-E7A5703223AF}"/>
              </a:ext>
            </a:extLst>
          </xdr:cNvPr>
          <xdr:cNvSpPr txBox="1"/>
        </xdr:nvSpPr>
        <xdr:spPr>
          <a:xfrm>
            <a:off x="9534524" y="2076448"/>
            <a:ext cx="819151" cy="295275"/>
          </a:xfrm>
          <a:prstGeom prst="roundRect">
            <a:avLst>
              <a:gd name="adj" fmla="val 48667"/>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6C8FFEA-DCE1-45A8-BC64-F339474B5FFA}" type="TxLink">
              <a:rPr lang="en-US" sz="1400" b="0" i="0" u="none" strike="noStrike">
                <a:solidFill>
                  <a:schemeClr val="bg1"/>
                </a:solidFill>
                <a:latin typeface="Avenir "/>
                <a:ea typeface="+mn-ea"/>
                <a:cs typeface="Arial" panose="020B0604020202020204" pitchFamily="34" charset="0"/>
              </a:rPr>
              <a:pPr marL="0" indent="0" algn="l"/>
              <a:t>15%</a:t>
            </a:fld>
            <a:endParaRPr lang="en-US" sz="1200" b="0" i="0" u="none" strike="noStrike">
              <a:solidFill>
                <a:schemeClr val="bg1"/>
              </a:solidFill>
              <a:latin typeface="+mn-lt"/>
              <a:ea typeface="+mn-ea"/>
              <a:cs typeface="Arial" panose="020B0604020202020204" pitchFamily="34" charset="0"/>
            </a:endParaRPr>
          </a:p>
        </xdr:txBody>
      </xdr:sp>
    </xdr:grpSp>
    <xdr:clientData/>
  </xdr:twoCellAnchor>
  <xdr:twoCellAnchor editAs="oneCell">
    <xdr:from>
      <xdr:col>15</xdr:col>
      <xdr:colOff>90936</xdr:colOff>
      <xdr:row>6</xdr:row>
      <xdr:rowOff>152172</xdr:rowOff>
    </xdr:from>
    <xdr:to>
      <xdr:col>16</xdr:col>
      <xdr:colOff>593869</xdr:colOff>
      <xdr:row>19</xdr:row>
      <xdr:rowOff>55321</xdr:rowOff>
    </xdr:to>
    <mc:AlternateContent xmlns:mc="http://schemas.openxmlformats.org/markup-compatibility/2006" xmlns:a14="http://schemas.microsoft.com/office/drawing/2010/main">
      <mc:Choice Requires="a14">
        <xdr:graphicFrame macro="">
          <xdr:nvGraphicFramePr>
            <xdr:cNvPr id="135" name="Income sources">
              <a:extLst>
                <a:ext uri="{FF2B5EF4-FFF2-40B4-BE49-F238E27FC236}">
                  <a16:creationId xmlns:a16="http://schemas.microsoft.com/office/drawing/2014/main" xmlns="" id="{F4037B4E-E54A-4D7E-B593-D3945FFFF7FA}"/>
                </a:ext>
              </a:extLst>
            </xdr:cNvPr>
            <xdr:cNvGraphicFramePr/>
          </xdr:nvGraphicFramePr>
          <xdr:xfrm>
            <a:off x="0" y="0"/>
            <a:ext cx="0" cy="0"/>
          </xdr:xfrm>
          <a:graphic>
            <a:graphicData uri="http://schemas.microsoft.com/office/drawing/2010/slicer">
              <sle:slicer xmlns:sle="http://schemas.microsoft.com/office/drawing/2010/slicer" name="Income sources"/>
            </a:graphicData>
          </a:graphic>
        </xdr:graphicFrame>
      </mc:Choice>
      <mc:Fallback xmlns="">
        <xdr:sp macro="" textlink="">
          <xdr:nvSpPr>
            <xdr:cNvPr id="0" name=""/>
            <xdr:cNvSpPr>
              <a:spLocks noTextEdit="1"/>
            </xdr:cNvSpPr>
          </xdr:nvSpPr>
          <xdr:spPr>
            <a:xfrm>
              <a:off x="10409686" y="1295172"/>
              <a:ext cx="1190850" cy="2242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0.3005</cdr:x>
      <cdr:y>0.27917</cdr:y>
    </cdr:from>
    <cdr:to>
      <cdr:x>0.46875</cdr:x>
      <cdr:y>0.63889</cdr:y>
    </cdr:to>
    <cdr:grpSp>
      <cdr:nvGrpSpPr>
        <cdr:cNvPr id="5" name="Group 4">
          <a:extLst xmlns:a="http://schemas.openxmlformats.org/drawingml/2006/main">
            <a:ext uri="{FF2B5EF4-FFF2-40B4-BE49-F238E27FC236}">
              <a16:creationId xmlns:a16="http://schemas.microsoft.com/office/drawing/2014/main" xmlns="" id="{DB64B3C5-91D8-40D0-A71D-045B499AD407}"/>
            </a:ext>
          </a:extLst>
        </cdr:cNvPr>
        <cdr:cNvGrpSpPr/>
      </cdr:nvGrpSpPr>
      <cdr:grpSpPr>
        <a:xfrm xmlns:a="http://schemas.openxmlformats.org/drawingml/2006/main">
          <a:off x="3031454" y="1268683"/>
          <a:ext cx="1697311" cy="1634742"/>
          <a:chOff x="3022549" y="1333515"/>
          <a:chExt cx="1692326" cy="1644640"/>
        </a:xfrm>
      </cdr:grpSpPr>
      <cdr:sp macro="" textlink="">
        <cdr:nvSpPr>
          <cdr:cNvPr id="4" name="Oval 3">
            <a:extLst xmlns:a="http://schemas.openxmlformats.org/drawingml/2006/main">
              <a:ext uri="{FF2B5EF4-FFF2-40B4-BE49-F238E27FC236}">
                <a16:creationId xmlns:a16="http://schemas.microsoft.com/office/drawing/2014/main" xmlns="" id="{112C8771-006F-4E41-B7CB-530A83DA411C}"/>
              </a:ext>
            </a:extLst>
          </cdr:cNvPr>
          <cdr:cNvSpPr/>
        </cdr:nvSpPr>
        <cdr:spPr>
          <a:xfrm xmlns:a="http://schemas.openxmlformats.org/drawingml/2006/main">
            <a:off x="3022549" y="1333515"/>
            <a:ext cx="1692326" cy="1644640"/>
          </a:xfrm>
          <a:prstGeom xmlns:a="http://schemas.openxmlformats.org/drawingml/2006/main" prst="ellipse">
            <a:avLst/>
          </a:prstGeom>
          <a:gradFill xmlns:a="http://schemas.openxmlformats.org/drawingml/2006/main">
            <a:gsLst>
              <a:gs pos="100000">
                <a:srgbClr val="450BE9"/>
              </a:gs>
              <a:gs pos="0">
                <a:srgbClr val="D17DB9">
                  <a:alpha val="0"/>
                  <a:lumMod val="97000"/>
                  <a:lumOff val="3000"/>
                </a:srgbClr>
              </a:gs>
            </a:gsLst>
            <a:lin ang="12600000" scaled="0"/>
          </a:gra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grpSp>
        <cdr:nvGrpSpPr>
          <cdr:cNvPr id="6" name="Group 5">
            <a:extLst xmlns:a="http://schemas.openxmlformats.org/drawingml/2006/main">
              <a:ext uri="{FF2B5EF4-FFF2-40B4-BE49-F238E27FC236}">
                <a16:creationId xmlns:a16="http://schemas.microsoft.com/office/drawing/2014/main" xmlns="" id="{B8041359-0359-4DD3-B975-B691473EE695}"/>
              </a:ext>
            </a:extLst>
          </cdr:cNvPr>
          <cdr:cNvGrpSpPr/>
        </cdr:nvGrpSpPr>
        <cdr:grpSpPr>
          <a:xfrm xmlns:a="http://schemas.openxmlformats.org/drawingml/2006/main">
            <a:off x="3222610" y="1454172"/>
            <a:ext cx="1330325" cy="1355688"/>
            <a:chOff x="1355725" y="3216274"/>
            <a:chExt cx="1330325" cy="1355726"/>
          </a:xfrm>
        </cdr:grpSpPr>
        <cdr:sp macro="" textlink="">
          <cdr:nvSpPr>
            <cdr:cNvPr id="3" name="Oval 2">
              <a:extLst xmlns:a="http://schemas.openxmlformats.org/drawingml/2006/main">
                <a:ext uri="{FF2B5EF4-FFF2-40B4-BE49-F238E27FC236}">
                  <a16:creationId xmlns:a16="http://schemas.microsoft.com/office/drawing/2014/main" xmlns="" id="{260FA35E-92E0-4730-8D5C-3D3A2A15186F}"/>
                </a:ext>
              </a:extLst>
            </cdr:cNvPr>
            <cdr:cNvSpPr/>
          </cdr:nvSpPr>
          <cdr:spPr>
            <a:xfrm xmlns:a="http://schemas.openxmlformats.org/drawingml/2006/main">
              <a:off x="1355725" y="3216274"/>
              <a:ext cx="1330325" cy="1355726"/>
            </a:xfrm>
            <a:prstGeom xmlns:a="http://schemas.openxmlformats.org/drawingml/2006/main" prst="ellipse">
              <a:avLst/>
            </a:prstGeom>
            <a:gradFill xmlns:a="http://schemas.openxmlformats.org/drawingml/2006/main">
              <a:gsLst>
                <a:gs pos="0">
                  <a:srgbClr val="D17DB9">
                    <a:lumMod val="96000"/>
                  </a:srgbClr>
                </a:gs>
                <a:gs pos="84000">
                  <a:srgbClr val="450BE9"/>
                </a:gs>
              </a:gsLst>
              <a:lin ang="12600000" scaled="0"/>
            </a:gra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sp macro="" textlink="">
          <cdr:nvSpPr>
            <cdr:cNvPr id="2" name="Oval 1">
              <a:extLst xmlns:a="http://schemas.openxmlformats.org/drawingml/2006/main">
                <a:ext uri="{FF2B5EF4-FFF2-40B4-BE49-F238E27FC236}">
                  <a16:creationId xmlns:a16="http://schemas.microsoft.com/office/drawing/2014/main" xmlns="" id="{8DDE5A75-8080-4A8F-BACA-F59D69A6FCFB}"/>
                </a:ext>
              </a:extLst>
            </cdr:cNvPr>
            <cdr:cNvSpPr/>
          </cdr:nvSpPr>
          <cdr:spPr>
            <a:xfrm xmlns:a="http://schemas.openxmlformats.org/drawingml/2006/main" rot="10800000">
              <a:off x="1466851" y="3381375"/>
              <a:ext cx="1047750" cy="1057275"/>
            </a:xfrm>
            <a:prstGeom xmlns:a="http://schemas.openxmlformats.org/drawingml/2006/main" prst="ellipse">
              <a:avLst/>
            </a:prstGeom>
            <a:solidFill xmlns:a="http://schemas.openxmlformats.org/drawingml/2006/main">
              <a:schemeClr val="tx1">
                <a:lumMod val="95000"/>
                <a:lumOff val="5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grpSp>
    </cdr:grpSp>
  </cdr:relSizeAnchor>
</c:userShapes>
</file>

<file path=xl/pivotCache/pivotCacheDefinition1.xml><?xml version="1.0" encoding="utf-8"?>
<pivotCacheDefinition xmlns="http://schemas.openxmlformats.org/spreadsheetml/2006/main" xmlns:r="http://schemas.openxmlformats.org/officeDocument/2006/relationships" saveData="0" refreshedBy="HP" refreshedDate="45883.593899421299" backgroundQuery="1" createdVersion="7" refreshedVersion="7" minRefreshableVersion="3" recordCount="0" supportSubquery="1" supportAdvancedDrill="1">
  <cacheSource type="external" connectionId="1"/>
  <cacheFields count="6">
    <cacheField name="[Table2].[Income sources].[Income sources]" caption="Income sources" numFmtId="0" hierarchy="2" level="1">
      <sharedItems count="6">
        <s v="Advertising"/>
        <s v="Asset sale"/>
        <s v="Licensing"/>
        <s v="Renting"/>
        <s v="Subscription"/>
        <s v="Usage fees"/>
      </sharedItems>
    </cacheField>
    <cacheField name="[Measures].[Sum of Income]" caption="Sum of Income" numFmtId="0" hierarchy="16" level="32767"/>
    <cacheField name="[Table2].[Year].[Year]" caption="Year" numFmtId="0" level="1">
      <sharedItems containsSemiMixedTypes="0" containsNonDate="0" containsString="0"/>
    </cacheField>
    <cacheField name="[Measures].[Sum of Counts]" caption="Sum of Counts" numFmtId="0" hierarchy="18" level="32767"/>
    <cacheField name="Dummy0" numFmtId="0" hierarchy="23" level="32767">
      <extLst>
        <ext xmlns:x14="http://schemas.microsoft.com/office/spreadsheetml/2009/9/main" uri="{63CAB8AC-B538-458d-9737-405883B0398D}">
          <x14:cacheField ignore="1"/>
        </ext>
      </extLst>
    </cacheField>
    <cacheField name="Dummy1" numFmtId="0" hierarchy="24" level="32767">
      <extLst>
        <ext xmlns:x14="http://schemas.microsoft.com/office/spreadsheetml/2009/9/main" uri="{63CAB8AC-B538-458d-9737-405883B0398D}">
          <x14:cacheField ignore="1"/>
        </ext>
      </extLst>
    </cacheField>
  </cacheFields>
  <cacheHierarchies count="25">
    <cacheHierarchy uniqueName="[Table2].[Year]" caption="Year" attribute="1" defaultMemberUniqueName="[Table2].[Year].[All]" allUniqueName="[Table2].[Year].[All]" dimensionUniqueName="[Table2]" displayFolder="" count="2" memberValueDatatype="20" unbalanced="0">
      <fieldsUsage count="2">
        <fieldUsage x="-1"/>
        <fieldUsage x="2"/>
      </fieldsUsage>
    </cacheHierarchy>
    <cacheHierarchy uniqueName="[Table2].[Month]" caption="Month" attribute="1" defaultMemberUniqueName="[Table2].[Month].[All]" allUniqueName="[Table2].[Month].[All]" dimensionUniqueName="[Table2]" displayFolder="" count="0" memberValueDatatype="130" unbalanced="0"/>
    <cacheHierarchy uniqueName="[Table2].[Income sources]" caption="Income sources" attribute="1" defaultMemberUniqueName="[Table2].[Income sources].[All]" allUniqueName="[Table2].[Income sources].[All]" dimensionUniqueName="[Table2]" displayFolder="" count="2" memberValueDatatype="130" unbalanced="0">
      <fieldsUsage count="2">
        <fieldUsage x="-1"/>
        <fieldUsage x="0"/>
      </fieldsUsage>
    </cacheHierarchy>
    <cacheHierarchy uniqueName="[Table2].[Income Breakdowns]" caption="Income Breakdowns" attribute="1" defaultMemberUniqueName="[Table2].[Income Breakdowns].[All]" allUniqueName="[Table2].[Income Breakdowns].[All]" dimensionUniqueName="[Table2]" displayFolder="" count="0" memberValueDatatype="130" unbalanced="0"/>
    <cacheHierarchy uniqueName="[Table2].[Counts]" caption="Counts" attribute="1" defaultMemberUniqueName="[Table2].[Counts].[All]" allUniqueName="[Table2].[Counts].[All]" dimensionUniqueName="[Table2]" displayFolder="" count="0" memberValueDatatype="20" unbalanced="0"/>
    <cacheHierarchy uniqueName="[Table2].[Income]" caption="Income" attribute="1" defaultMemberUniqueName="[Table2].[Income].[All]" allUniqueName="[Table2].[Income].[All]" dimensionUniqueName="[Table2]" displayFolder="" count="0" memberValueDatatype="20" unbalanced="0"/>
    <cacheHierarchy uniqueName="[Table2].[Target Income]" caption="Target Income" attribute="1" defaultMemberUniqueName="[Table2].[Target Income].[All]" allUniqueName="[Table2].[Target Income].[All]" dimensionUniqueName="[Table2]" displayFolder="" count="0" memberValueDatatype="20" unbalanced="0"/>
    <cacheHierarchy uniqueName="[Table2].[Operating profit]" caption="Operating profit" attribute="1" defaultMemberUniqueName="[Table2].[Operating profit].[All]" allUniqueName="[Table2].[Operating profit].[All]" dimensionUniqueName="[Table2]" displayFolder="" count="0" memberValueDatatype="20" unbalanced="0"/>
    <cacheHierarchy uniqueName="[Table2].[Marketing Strategies]" caption="Marketing Strategies" attribute="1" defaultMemberUniqueName="[Table2].[Marketing Strategies].[All]" allUniqueName="[Table2].[Marketing Strategies].[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date (Month)]" caption="date (Month)" attribute="1" defaultMemberUniqueName="[Table2].[date (Month)].[All]" allUniqueName="[Table2].[date (Month)].[All]" dimensionUniqueName="[Table2]" displayFolder="" count="0" memberValueDatatype="130"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Income]" caption="Sum of Income" measure="1" displayFolder="" measureGroup="Table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Target Income]" caption="Sum of Target Income" measure="1" displayFolder="" measureGroup="Table2" count="0" hidden="1">
      <extLst>
        <ext xmlns:x15="http://schemas.microsoft.com/office/spreadsheetml/2010/11/main" uri="{B97F6D7D-B522-45F9-BDA1-12C45D357490}">
          <x15:cacheHierarchy aggregatedColumn="6"/>
        </ext>
      </extLst>
    </cacheHierarchy>
    <cacheHierarchy uniqueName="[Measures].[Sum of Counts]" caption="Sum of Counts" measure="1" displayFolder="" measureGroup="Table2"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Operating profit]" caption="Sum of Operating profit" measure="1" displayFolder="" measureGroup="Table2"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Table2" count="0" hidden="1">
      <extLst>
        <ext xmlns:x15="http://schemas.microsoft.com/office/spreadsheetml/2010/11/main" uri="{B97F6D7D-B522-45F9-BDA1-12C45D357490}">
          <x15:cacheHierarchy aggregatedColumn="10"/>
        </ext>
      </extLst>
    </cacheHierarchy>
    <cacheHierarchy uniqueName="[Measures].[Count of Marketing Strategies]" caption="Count of Marketing Strategies" measure="1" displayFolder="" measureGroup="Table2" count="0" hidden="1">
      <extLst>
        <ext xmlns:x15="http://schemas.microsoft.com/office/spreadsheetml/2010/11/main" uri="{B97F6D7D-B522-45F9-BDA1-12C45D357490}">
          <x15:cacheHierarchy aggregatedColumn="8"/>
        </ext>
      </extLst>
    </cacheHierarchy>
    <cacheHierarchy uniqueName="[Measures].[Count of Income sources]" caption="Count of Income sources" measure="1" displayFolder="" measureGroup="Table2" count="0" hidden="1">
      <extLst>
        <ext xmlns:x15="http://schemas.microsoft.com/office/spreadsheetml/2010/11/main" uri="{B97F6D7D-B522-45F9-BDA1-12C45D357490}">
          <x15:cacheHierarchy aggregatedColumn="2"/>
        </ext>
      </extLst>
    </cacheHierarchy>
    <cacheHierarchy uniqueName="Dummy0" caption="Year" measure="1" count="0">
      <extLst>
        <ext xmlns:x14="http://schemas.microsoft.com/office/spreadsheetml/2009/9/main" uri="{8CF416AD-EC4C-4aba-99F5-12A058AE0983}">
          <x14:cacheHierarchy ignore="1"/>
        </ext>
      </extLst>
    </cacheHierarchy>
    <cacheHierarchy uniqueName="Dummy1" caption="Yea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5883.5939" backgroundQuery="1" createdVersion="7" refreshedVersion="7" minRefreshableVersion="3" recordCount="0" supportSubquery="1" supportAdvancedDrill="1">
  <cacheSource type="external" connectionId="1"/>
  <cacheFields count="3">
    <cacheField name="[Measures].[Sum of Income]" caption="Sum of Income" numFmtId="0" hierarchy="16" level="32767"/>
    <cacheField name="[Table2].[Year].[Year]" caption="Year" numFmtId="0" level="1">
      <sharedItems containsSemiMixedTypes="0" containsNonDate="0" containsString="0"/>
    </cacheField>
    <cacheField name="[Measures].[Sum of Target Income]" caption="Sum of Target Income" numFmtId="0" hierarchy="17" level="32767"/>
  </cacheFields>
  <cacheHierarchies count="23">
    <cacheHierarchy uniqueName="[Table2].[Year]" caption="Year" attribute="1" defaultMemberUniqueName="[Table2].[Year].[All]" allUniqueName="[Table2].[Year].[All]" dimensionUniqueName="[Table2]" displayFolder="" count="2" memberValueDatatype="20" unbalanced="0">
      <fieldsUsage count="2">
        <fieldUsage x="-1"/>
        <fieldUsage x="1"/>
      </fieldsUsage>
    </cacheHierarchy>
    <cacheHierarchy uniqueName="[Table2].[Month]" caption="Month" attribute="1" defaultMemberUniqueName="[Table2].[Month].[All]" allUniqueName="[Table2].[Month].[All]" dimensionUniqueName="[Table2]" displayFolder="" count="0" memberValueDatatype="130" unbalanced="0"/>
    <cacheHierarchy uniqueName="[Table2].[Income sources]" caption="Income sources" attribute="1" defaultMemberUniqueName="[Table2].[Income sources].[All]" allUniqueName="[Table2].[Income sources].[All]" dimensionUniqueName="[Table2]" displayFolder="" count="0" memberValueDatatype="130" unbalanced="0"/>
    <cacheHierarchy uniqueName="[Table2].[Income Breakdowns]" caption="Income Breakdowns" attribute="1" defaultMemberUniqueName="[Table2].[Income Breakdowns].[All]" allUniqueName="[Table2].[Income Breakdowns].[All]" dimensionUniqueName="[Table2]" displayFolder="" count="0" memberValueDatatype="130" unbalanced="0"/>
    <cacheHierarchy uniqueName="[Table2].[Counts]" caption="Counts" attribute="1" defaultMemberUniqueName="[Table2].[Counts].[All]" allUniqueName="[Table2].[Counts].[All]" dimensionUniqueName="[Table2]" displayFolder="" count="0" memberValueDatatype="20" unbalanced="0"/>
    <cacheHierarchy uniqueName="[Table2].[Income]" caption="Income" attribute="1" defaultMemberUniqueName="[Table2].[Income].[All]" allUniqueName="[Table2].[Income].[All]" dimensionUniqueName="[Table2]" displayFolder="" count="0" memberValueDatatype="20" unbalanced="0"/>
    <cacheHierarchy uniqueName="[Table2].[Target Income]" caption="Target Income" attribute="1" defaultMemberUniqueName="[Table2].[Target Income].[All]" allUniqueName="[Table2].[Target Income].[All]" dimensionUniqueName="[Table2]" displayFolder="" count="0" memberValueDatatype="20" unbalanced="0"/>
    <cacheHierarchy uniqueName="[Table2].[Operating profit]" caption="Operating profit" attribute="1" defaultMemberUniqueName="[Table2].[Operating profit].[All]" allUniqueName="[Table2].[Operating profit].[All]" dimensionUniqueName="[Table2]" displayFolder="" count="0" memberValueDatatype="20" unbalanced="0"/>
    <cacheHierarchy uniqueName="[Table2].[Marketing Strategies]" caption="Marketing Strategies" attribute="1" defaultMemberUniqueName="[Table2].[Marketing Strategies].[All]" allUniqueName="[Table2].[Marketing Strategies].[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date (Month)]" caption="date (Month)" attribute="1" defaultMemberUniqueName="[Table2].[date (Month)].[All]" allUniqueName="[Table2].[date (Month)].[All]" dimensionUniqueName="[Table2]" displayFolder="" count="0" memberValueDatatype="130"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Income]" caption="Sum of Income" measure="1" displayFolder="" measureGroup="Table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Target Income]" caption="Sum of Target Income" measure="1" displayFolder="" measureGroup="Table2"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Counts]" caption="Sum of Counts" measure="1" displayFolder="" measureGroup="Table2" count="0" hidden="1">
      <extLst>
        <ext xmlns:x15="http://schemas.microsoft.com/office/spreadsheetml/2010/11/main" uri="{B97F6D7D-B522-45F9-BDA1-12C45D357490}">
          <x15:cacheHierarchy aggregatedColumn="4"/>
        </ext>
      </extLst>
    </cacheHierarchy>
    <cacheHierarchy uniqueName="[Measures].[Sum of Operating profit]" caption="Sum of Operating profit" measure="1" displayFolder="" measureGroup="Table2"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Table2" count="0" hidden="1">
      <extLst>
        <ext xmlns:x15="http://schemas.microsoft.com/office/spreadsheetml/2010/11/main" uri="{B97F6D7D-B522-45F9-BDA1-12C45D357490}">
          <x15:cacheHierarchy aggregatedColumn="10"/>
        </ext>
      </extLst>
    </cacheHierarchy>
    <cacheHierarchy uniqueName="[Measures].[Count of Marketing Strategies]" caption="Count of Marketing Strategies" measure="1" displayFolder="" measureGroup="Table2" count="0" hidden="1">
      <extLst>
        <ext xmlns:x15="http://schemas.microsoft.com/office/spreadsheetml/2010/11/main" uri="{B97F6D7D-B522-45F9-BDA1-12C45D357490}">
          <x15:cacheHierarchy aggregatedColumn="8"/>
        </ext>
      </extLst>
    </cacheHierarchy>
    <cacheHierarchy uniqueName="[Measures].[Count of Income sources]" caption="Count of Income sources" measure="1" displayFolder="" measureGroup="Table2"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5883.593900694446" backgroundQuery="1" createdVersion="7" refreshedVersion="7" minRefreshableVersion="3" recordCount="0" supportSubquery="1" supportAdvancedDrill="1">
  <cacheSource type="external" connectionId="1"/>
  <cacheFields count="4">
    <cacheField name="[Measures].[Sum of Income]" caption="Sum of Income" numFmtId="0" hierarchy="16" level="32767"/>
    <cacheField name="[Table2].[Year].[Year]" caption="Year" numFmtId="0" level="1">
      <sharedItems containsSemiMixedTypes="0" containsNonDate="0" containsString="0"/>
    </cacheField>
    <cacheField name="[Table2].[Month].[Month]" caption="Month" numFmtId="0" hierarchy="1" level="1">
      <sharedItems count="12">
        <s v="Apr"/>
        <s v="Aug"/>
        <s v="Dec"/>
        <s v="Feb"/>
        <s v="Jan"/>
        <s v="Jul"/>
        <s v="Jun"/>
        <s v="Mar"/>
        <s v="May"/>
        <s v="Nov"/>
        <s v="Oct"/>
        <s v="Sep"/>
      </sharedItems>
    </cacheField>
    <cacheField name="Dummy0" numFmtId="0" hierarchy="23" level="32767">
      <extLst>
        <ext xmlns:x14="http://schemas.microsoft.com/office/spreadsheetml/2009/9/main" uri="{63CAB8AC-B538-458d-9737-405883B0398D}">
          <x14:cacheField ignore="1"/>
        </ext>
      </extLst>
    </cacheField>
  </cacheFields>
  <cacheHierarchies count="24">
    <cacheHierarchy uniqueName="[Table2].[Year]" caption="Year" attribute="1" defaultMemberUniqueName="[Table2].[Year].[All]" allUniqueName="[Table2].[Year].[All]" dimensionUniqueName="[Table2]" displayFolder="" count="2" memberValueDatatype="20" unbalanced="0">
      <fieldsUsage count="2">
        <fieldUsage x="-1"/>
        <fieldUsage x="1"/>
      </fieldsUsage>
    </cacheHierarchy>
    <cacheHierarchy uniqueName="[Table2].[Month]" caption="Month" attribute="1" defaultMemberUniqueName="[Table2].[Month].[All]" allUniqueName="[Table2].[Month].[All]" dimensionUniqueName="[Table2]" displayFolder="" count="2" memberValueDatatype="130" unbalanced="0">
      <fieldsUsage count="2">
        <fieldUsage x="-1"/>
        <fieldUsage x="2"/>
      </fieldsUsage>
    </cacheHierarchy>
    <cacheHierarchy uniqueName="[Table2].[Income sources]" caption="Income sources" attribute="1" defaultMemberUniqueName="[Table2].[Income sources].[All]" allUniqueName="[Table2].[Income sources].[All]" dimensionUniqueName="[Table2]" displayFolder="" count="0" memberValueDatatype="130" unbalanced="0"/>
    <cacheHierarchy uniqueName="[Table2].[Income Breakdowns]" caption="Income Breakdowns" attribute="1" defaultMemberUniqueName="[Table2].[Income Breakdowns].[All]" allUniqueName="[Table2].[Income Breakdowns].[All]" dimensionUniqueName="[Table2]" displayFolder="" count="0" memberValueDatatype="130" unbalanced="0"/>
    <cacheHierarchy uniqueName="[Table2].[Counts]" caption="Counts" attribute="1" defaultMemberUniqueName="[Table2].[Counts].[All]" allUniqueName="[Table2].[Counts].[All]" dimensionUniqueName="[Table2]" displayFolder="" count="0" memberValueDatatype="20" unbalanced="0"/>
    <cacheHierarchy uniqueName="[Table2].[Income]" caption="Income" attribute="1" defaultMemberUniqueName="[Table2].[Income].[All]" allUniqueName="[Table2].[Income].[All]" dimensionUniqueName="[Table2]" displayFolder="" count="0" memberValueDatatype="20" unbalanced="0"/>
    <cacheHierarchy uniqueName="[Table2].[Target Income]" caption="Target Income" attribute="1" defaultMemberUniqueName="[Table2].[Target Income].[All]" allUniqueName="[Table2].[Target Income].[All]" dimensionUniqueName="[Table2]" displayFolder="" count="0" memberValueDatatype="20" unbalanced="0"/>
    <cacheHierarchy uniqueName="[Table2].[Operating profit]" caption="Operating profit" attribute="1" defaultMemberUniqueName="[Table2].[Operating profit].[All]" allUniqueName="[Table2].[Operating profit].[All]" dimensionUniqueName="[Table2]" displayFolder="" count="0" memberValueDatatype="20" unbalanced="0"/>
    <cacheHierarchy uniqueName="[Table2].[Marketing Strategies]" caption="Marketing Strategies" attribute="1" defaultMemberUniqueName="[Table2].[Marketing Strategies].[All]" allUniqueName="[Table2].[Marketing Strategies].[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date (Month)]" caption="date (Month)" attribute="1" defaultMemberUniqueName="[Table2].[date (Month)].[All]" allUniqueName="[Table2].[date (Month)].[All]" dimensionUniqueName="[Table2]" displayFolder="" count="0" memberValueDatatype="130"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Income]" caption="Sum of Income" measure="1" displayFolder="" measureGroup="Table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Target Income]" caption="Sum of Target Income" measure="1" displayFolder="" measureGroup="Table2" count="0" hidden="1">
      <extLst>
        <ext xmlns:x15="http://schemas.microsoft.com/office/spreadsheetml/2010/11/main" uri="{B97F6D7D-B522-45F9-BDA1-12C45D357490}">
          <x15:cacheHierarchy aggregatedColumn="6"/>
        </ext>
      </extLst>
    </cacheHierarchy>
    <cacheHierarchy uniqueName="[Measures].[Sum of Counts]" caption="Sum of Counts" measure="1" displayFolder="" measureGroup="Table2" count="0" hidden="1">
      <extLst>
        <ext xmlns:x15="http://schemas.microsoft.com/office/spreadsheetml/2010/11/main" uri="{B97F6D7D-B522-45F9-BDA1-12C45D357490}">
          <x15:cacheHierarchy aggregatedColumn="4"/>
        </ext>
      </extLst>
    </cacheHierarchy>
    <cacheHierarchy uniqueName="[Measures].[Sum of Operating profit]" caption="Sum of Operating profit" measure="1" displayFolder="" measureGroup="Table2"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Table2" count="0" hidden="1">
      <extLst>
        <ext xmlns:x15="http://schemas.microsoft.com/office/spreadsheetml/2010/11/main" uri="{B97F6D7D-B522-45F9-BDA1-12C45D357490}">
          <x15:cacheHierarchy aggregatedColumn="10"/>
        </ext>
      </extLst>
    </cacheHierarchy>
    <cacheHierarchy uniqueName="[Measures].[Count of Marketing Strategies]" caption="Count of Marketing Strategies" measure="1" displayFolder="" measureGroup="Table2" count="0" hidden="1">
      <extLst>
        <ext xmlns:x15="http://schemas.microsoft.com/office/spreadsheetml/2010/11/main" uri="{B97F6D7D-B522-45F9-BDA1-12C45D357490}">
          <x15:cacheHierarchy aggregatedColumn="8"/>
        </ext>
      </extLst>
    </cacheHierarchy>
    <cacheHierarchy uniqueName="[Measures].[Count of Income sources]" caption="Count of Income sources" measure="1" displayFolder="" measureGroup="Table2" count="0" hidden="1">
      <extLst>
        <ext xmlns:x15="http://schemas.microsoft.com/office/spreadsheetml/2010/11/main" uri="{B97F6D7D-B522-45F9-BDA1-12C45D357490}">
          <x15:cacheHierarchy aggregatedColumn="2"/>
        </ext>
      </extLst>
    </cacheHierarchy>
    <cacheHierarchy uniqueName="Dummy0" caption="Yea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5883.593901157408" backgroundQuery="1" createdVersion="7" refreshedVersion="7" minRefreshableVersion="3" recordCount="0" supportSubquery="1" supportAdvancedDrill="1">
  <cacheSource type="external" connectionId="1"/>
  <cacheFields count="3">
    <cacheField name="[Table2].[Year].[Year]" caption="Year" numFmtId="0" level="1">
      <sharedItems containsSemiMixedTypes="0" containsNonDate="0" containsString="0"/>
    </cacheField>
    <cacheField name="[Table2].[Month].[Month]" caption="Month" numFmtId="0" hierarchy="1" level="1">
      <sharedItems count="12">
        <s v="Apr"/>
        <s v="Aug"/>
        <s v="Dec"/>
        <s v="Feb"/>
        <s v="Jan"/>
        <s v="Jul"/>
        <s v="Jun"/>
        <s v="Mar"/>
        <s v="May"/>
        <s v="Nov"/>
        <s v="Oct"/>
        <s v="Sep"/>
      </sharedItems>
    </cacheField>
    <cacheField name="[Measures].[Sum of Operating profit]" caption="Sum of Operating profit" numFmtId="0" hierarchy="19" level="32767"/>
  </cacheFields>
  <cacheHierarchies count="23">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Month]" caption="Month" attribute="1" defaultMemberUniqueName="[Table2].[Month].[All]" allUniqueName="[Table2].[Month].[All]" dimensionUniqueName="[Table2]" displayFolder="" count="2" memberValueDatatype="130" unbalanced="0">
      <fieldsUsage count="2">
        <fieldUsage x="-1"/>
        <fieldUsage x="1"/>
      </fieldsUsage>
    </cacheHierarchy>
    <cacheHierarchy uniqueName="[Table2].[Income sources]" caption="Income sources" attribute="1" defaultMemberUniqueName="[Table2].[Income sources].[All]" allUniqueName="[Table2].[Income sources].[All]" dimensionUniqueName="[Table2]" displayFolder="" count="0" memberValueDatatype="130" unbalanced="0"/>
    <cacheHierarchy uniqueName="[Table2].[Income Breakdowns]" caption="Income Breakdowns" attribute="1" defaultMemberUniqueName="[Table2].[Income Breakdowns].[All]" allUniqueName="[Table2].[Income Breakdowns].[All]" dimensionUniqueName="[Table2]" displayFolder="" count="0" memberValueDatatype="130" unbalanced="0"/>
    <cacheHierarchy uniqueName="[Table2].[Counts]" caption="Counts" attribute="1" defaultMemberUniqueName="[Table2].[Counts].[All]" allUniqueName="[Table2].[Counts].[All]" dimensionUniqueName="[Table2]" displayFolder="" count="0" memberValueDatatype="20" unbalanced="0"/>
    <cacheHierarchy uniqueName="[Table2].[Income]" caption="Income" attribute="1" defaultMemberUniqueName="[Table2].[Income].[All]" allUniqueName="[Table2].[Income].[All]" dimensionUniqueName="[Table2]" displayFolder="" count="0" memberValueDatatype="20" unbalanced="0"/>
    <cacheHierarchy uniqueName="[Table2].[Target Income]" caption="Target Income" attribute="1" defaultMemberUniqueName="[Table2].[Target Income].[All]" allUniqueName="[Table2].[Target Income].[All]" dimensionUniqueName="[Table2]" displayFolder="" count="0" memberValueDatatype="20" unbalanced="0"/>
    <cacheHierarchy uniqueName="[Table2].[Operating profit]" caption="Operating profit" attribute="1" defaultMemberUniqueName="[Table2].[Operating profit].[All]" allUniqueName="[Table2].[Operating profit].[All]" dimensionUniqueName="[Table2]" displayFolder="" count="0" memberValueDatatype="20" unbalanced="0"/>
    <cacheHierarchy uniqueName="[Table2].[Marketing Strategies]" caption="Marketing Strategies" attribute="1" defaultMemberUniqueName="[Table2].[Marketing Strategies].[All]" allUniqueName="[Table2].[Marketing Strategies].[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date (Month)]" caption="date (Month)" attribute="1" defaultMemberUniqueName="[Table2].[date (Month)].[All]" allUniqueName="[Table2].[date (Month)].[All]" dimensionUniqueName="[Table2]" displayFolder="" count="0" memberValueDatatype="130"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Income]" caption="Sum of Income" measure="1" displayFolder="" measureGroup="Table2" count="0" hidden="1">
      <extLst>
        <ext xmlns:x15="http://schemas.microsoft.com/office/spreadsheetml/2010/11/main" uri="{B97F6D7D-B522-45F9-BDA1-12C45D357490}">
          <x15:cacheHierarchy aggregatedColumn="5"/>
        </ext>
      </extLst>
    </cacheHierarchy>
    <cacheHierarchy uniqueName="[Measures].[Sum of Target Income]" caption="Sum of Target Income" measure="1" displayFolder="" measureGroup="Table2" count="0" hidden="1">
      <extLst>
        <ext xmlns:x15="http://schemas.microsoft.com/office/spreadsheetml/2010/11/main" uri="{B97F6D7D-B522-45F9-BDA1-12C45D357490}">
          <x15:cacheHierarchy aggregatedColumn="6"/>
        </ext>
      </extLst>
    </cacheHierarchy>
    <cacheHierarchy uniqueName="[Measures].[Sum of Counts]" caption="Sum of Counts" measure="1" displayFolder="" measureGroup="Table2" count="0" hidden="1">
      <extLst>
        <ext xmlns:x15="http://schemas.microsoft.com/office/spreadsheetml/2010/11/main" uri="{B97F6D7D-B522-45F9-BDA1-12C45D357490}">
          <x15:cacheHierarchy aggregatedColumn="4"/>
        </ext>
      </extLst>
    </cacheHierarchy>
    <cacheHierarchy uniqueName="[Measures].[Sum of Operating profit]" caption="Sum of Operating profit" measure="1" displayFolder="" measureGroup="Table2"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Table2" count="0" hidden="1">
      <extLst>
        <ext xmlns:x15="http://schemas.microsoft.com/office/spreadsheetml/2010/11/main" uri="{B97F6D7D-B522-45F9-BDA1-12C45D357490}">
          <x15:cacheHierarchy aggregatedColumn="10"/>
        </ext>
      </extLst>
    </cacheHierarchy>
    <cacheHierarchy uniqueName="[Measures].[Count of Marketing Strategies]" caption="Count of Marketing Strategies" measure="1" displayFolder="" measureGroup="Table2" count="0" hidden="1">
      <extLst>
        <ext xmlns:x15="http://schemas.microsoft.com/office/spreadsheetml/2010/11/main" uri="{B97F6D7D-B522-45F9-BDA1-12C45D357490}">
          <x15:cacheHierarchy aggregatedColumn="8"/>
        </ext>
      </extLst>
    </cacheHierarchy>
    <cacheHierarchy uniqueName="[Measures].[Count of Income sources]" caption="Count of Income sources" measure="1" displayFolder="" measureGroup="Table2"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5883.593902083332" backgroundQuery="1" createdVersion="7" refreshedVersion="7" minRefreshableVersion="3" recordCount="0" supportSubquery="1" supportAdvancedDrill="1">
  <cacheSource type="external" connectionId="1"/>
  <cacheFields count="5">
    <cacheField name="[Table2].[Year].[Year]" caption="Year" numFmtId="0" level="1">
      <sharedItems containsSemiMixedTypes="0" containsNonDate="0" containsString="0"/>
    </cacheField>
    <cacheField name="[Table2].[Month].[Month]" caption="Month" numFmtId="0" hierarchy="1" level="1">
      <sharedItems count="12">
        <s v="Apr"/>
        <s v="Aug"/>
        <s v="Dec"/>
        <s v="Feb"/>
        <s v="Jan"/>
        <s v="Jul"/>
        <s v="Jun"/>
        <s v="Mar"/>
        <s v="May"/>
        <s v="Nov"/>
        <s v="Oct"/>
        <s v="Sep"/>
      </sharedItems>
    </cacheField>
    <cacheField name="[Table2].[Marketing Strategies].[Marketing Strategies]" caption="Marketing Strategies" numFmtId="0" hierarchy="8" level="1">
      <sharedItems count="2">
        <s v="B2B"/>
        <s v="B2C"/>
      </sharedItems>
    </cacheField>
    <cacheField name="[Measures].[Sum of Income]" caption="Sum of Income" numFmtId="0" hierarchy="16" level="32767"/>
    <cacheField name="Dummy0" numFmtId="0" hierarchy="23" level="32767">
      <extLst>
        <ext xmlns:x14="http://schemas.microsoft.com/office/spreadsheetml/2009/9/main" uri="{63CAB8AC-B538-458d-9737-405883B0398D}">
          <x14:cacheField ignore="1"/>
        </ext>
      </extLst>
    </cacheField>
  </cacheFields>
  <cacheHierarchies count="24">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Month]" caption="Month" attribute="1" defaultMemberUniqueName="[Table2].[Month].[All]" allUniqueName="[Table2].[Month].[All]" dimensionUniqueName="[Table2]" displayFolder="" count="2" memberValueDatatype="130" unbalanced="0">
      <fieldsUsage count="2">
        <fieldUsage x="-1"/>
        <fieldUsage x="1"/>
      </fieldsUsage>
    </cacheHierarchy>
    <cacheHierarchy uniqueName="[Table2].[Income sources]" caption="Income sources" attribute="1" defaultMemberUniqueName="[Table2].[Income sources].[All]" allUniqueName="[Table2].[Income sources].[All]" dimensionUniqueName="[Table2]" displayFolder="" count="0" memberValueDatatype="130" unbalanced="0"/>
    <cacheHierarchy uniqueName="[Table2].[Income Breakdowns]" caption="Income Breakdowns" attribute="1" defaultMemberUniqueName="[Table2].[Income Breakdowns].[All]" allUniqueName="[Table2].[Income Breakdowns].[All]" dimensionUniqueName="[Table2]" displayFolder="" count="0" memberValueDatatype="130" unbalanced="0"/>
    <cacheHierarchy uniqueName="[Table2].[Counts]" caption="Counts" attribute="1" defaultMemberUniqueName="[Table2].[Counts].[All]" allUniqueName="[Table2].[Counts].[All]" dimensionUniqueName="[Table2]" displayFolder="" count="0" memberValueDatatype="20" unbalanced="0"/>
    <cacheHierarchy uniqueName="[Table2].[Income]" caption="Income" attribute="1" defaultMemberUniqueName="[Table2].[Income].[All]" allUniqueName="[Table2].[Income].[All]" dimensionUniqueName="[Table2]" displayFolder="" count="0" memberValueDatatype="20" unbalanced="0"/>
    <cacheHierarchy uniqueName="[Table2].[Target Income]" caption="Target Income" attribute="1" defaultMemberUniqueName="[Table2].[Target Income].[All]" allUniqueName="[Table2].[Target Income].[All]" dimensionUniqueName="[Table2]" displayFolder="" count="0" memberValueDatatype="20" unbalanced="0"/>
    <cacheHierarchy uniqueName="[Table2].[Operating profit]" caption="Operating profit" attribute="1" defaultMemberUniqueName="[Table2].[Operating profit].[All]" allUniqueName="[Table2].[Operating profit].[All]" dimensionUniqueName="[Table2]" displayFolder="" count="0" memberValueDatatype="20" unbalanced="0"/>
    <cacheHierarchy uniqueName="[Table2].[Marketing Strategies]" caption="Marketing Strategies" attribute="1" defaultMemberUniqueName="[Table2].[Marketing Strategies].[All]" allUniqueName="[Table2].[Marketing Strategies].[All]" dimensionUniqueName="[Table2]" displayFolder="" count="2" memberValueDatatype="130" unbalanced="0">
      <fieldsUsage count="2">
        <fieldUsage x="-1"/>
        <fieldUsage x="2"/>
      </fieldsUsage>
    </cacheHierarchy>
    <cacheHierarchy uniqueName="[Table2].[date]" caption="date" attribute="1" time="1" defaultMemberUniqueName="[Table2].[date].[All]" allUniqueName="[Table2].[date].[All]" dimensionUniqueName="[Table2]" displayFolder="" count="0" memberValueDatatype="7" unbalanced="0"/>
    <cacheHierarchy uniqueName="[Table2].[date (Month)]" caption="date (Month)" attribute="1" defaultMemberUniqueName="[Table2].[date (Month)].[All]" allUniqueName="[Table2].[date (Month)].[All]" dimensionUniqueName="[Table2]" displayFolder="" count="0" memberValueDatatype="130"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Income]" caption="Sum of Income" measure="1" displayFolder="" measureGroup="Table2"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Target Income]" caption="Sum of Target Income" measure="1" displayFolder="" measureGroup="Table2" count="0" hidden="1">
      <extLst>
        <ext xmlns:x15="http://schemas.microsoft.com/office/spreadsheetml/2010/11/main" uri="{B97F6D7D-B522-45F9-BDA1-12C45D357490}">
          <x15:cacheHierarchy aggregatedColumn="6"/>
        </ext>
      </extLst>
    </cacheHierarchy>
    <cacheHierarchy uniqueName="[Measures].[Sum of Counts]" caption="Sum of Counts" measure="1" displayFolder="" measureGroup="Table2" count="0" hidden="1">
      <extLst>
        <ext xmlns:x15="http://schemas.microsoft.com/office/spreadsheetml/2010/11/main" uri="{B97F6D7D-B522-45F9-BDA1-12C45D357490}">
          <x15:cacheHierarchy aggregatedColumn="4"/>
        </ext>
      </extLst>
    </cacheHierarchy>
    <cacheHierarchy uniqueName="[Measures].[Sum of Operating profit]" caption="Sum of Operating profit" measure="1" displayFolder="" measureGroup="Table2"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Table2" count="0" hidden="1">
      <extLst>
        <ext xmlns:x15="http://schemas.microsoft.com/office/spreadsheetml/2010/11/main" uri="{B97F6D7D-B522-45F9-BDA1-12C45D357490}">
          <x15:cacheHierarchy aggregatedColumn="10"/>
        </ext>
      </extLst>
    </cacheHierarchy>
    <cacheHierarchy uniqueName="[Measures].[Count of Marketing Strategies]" caption="Count of Marketing Strategies" measure="1" displayFolder="" measureGroup="Table2" count="0" hidden="1">
      <extLst>
        <ext xmlns:x15="http://schemas.microsoft.com/office/spreadsheetml/2010/11/main" uri="{B97F6D7D-B522-45F9-BDA1-12C45D357490}">
          <x15:cacheHierarchy aggregatedColumn="8"/>
        </ext>
      </extLst>
    </cacheHierarchy>
    <cacheHierarchy uniqueName="[Measures].[Count of Income sources]" caption="Count of Income sources" measure="1" displayFolder="" measureGroup="Table2" count="0" hidden="1">
      <extLst>
        <ext xmlns:x15="http://schemas.microsoft.com/office/spreadsheetml/2010/11/main" uri="{B97F6D7D-B522-45F9-BDA1-12C45D357490}">
          <x15:cacheHierarchy aggregatedColumn="2"/>
        </ext>
      </extLst>
    </cacheHierarchy>
    <cacheHierarchy uniqueName="Dummy0" caption="Yea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5883.593902777779" backgroundQuery="1" createdVersion="7" refreshedVersion="7" minRefreshableVersion="3" recordCount="0" supportSubquery="1" supportAdvancedDrill="1">
  <cacheSource type="external" connectionId="1"/>
  <cacheFields count="7">
    <cacheField name="[Table2].[Year].[Year]" caption="Year" numFmtId="0" level="1">
      <sharedItems containsSemiMixedTypes="0" containsNonDate="0" containsString="0"/>
    </cacheField>
    <cacheField name="[Table2].[Month].[Month]" caption="Month" numFmtId="0" hierarchy="1" level="1">
      <sharedItems count="12">
        <s v="Apr"/>
        <s v="Aug"/>
        <s v="Dec"/>
        <s v="Feb"/>
        <s v="Jan"/>
        <s v="Jul"/>
        <s v="Jun"/>
        <s v="Mar"/>
        <s v="May"/>
        <s v="Nov"/>
        <s v="Oct"/>
        <s v="Sep"/>
      </sharedItems>
    </cacheField>
    <cacheField name="[Table2].[Marketing Strategies].[Marketing Strategies]" caption="Marketing Strategies" numFmtId="0" hierarchy="8" level="1">
      <sharedItems count="2">
        <s v="B2B"/>
        <s v="B2C"/>
      </sharedItems>
    </cacheField>
    <cacheField name="[Measures].[Sum of Income]" caption="Sum of Income" numFmtId="0" hierarchy="16" level="32767"/>
    <cacheField name="[Table2].[Income sources].[Income sources]" caption="Income sources" numFmtId="0" hierarchy="2" level="1">
      <sharedItems count="6">
        <s v="Advertising"/>
        <s v="Asset sale"/>
        <s v="Licensing"/>
        <s v="Renting"/>
        <s v="Subscription"/>
        <s v="Usage fees"/>
      </sharedItems>
    </cacheField>
    <cacheField name="[Table2].[Income Breakdowns].[Income Breakdowns]" caption="Income Breakdowns" numFmtId="0" hierarchy="3" level="1">
      <sharedItems count="15">
        <s v="Asset sale"/>
        <s v="Company Website"/>
        <s v="Facebook Page"/>
        <s v="Floating License"/>
        <s v="Google Ad"/>
        <s v="Lands"/>
        <s v="New"/>
        <s v="Offices"/>
        <s v="Premium"/>
        <s v="Prime"/>
        <s v="Renewal"/>
        <s v="Software Metered License"/>
        <s v="Youtube Channel"/>
        <s v="Equipments"/>
        <s v="Television Ad"/>
      </sharedItems>
    </cacheField>
    <cacheField name="Dummy0" numFmtId="0" hierarchy="23" level="32767">
      <extLst>
        <ext xmlns:x14="http://schemas.microsoft.com/office/spreadsheetml/2009/9/main" uri="{63CAB8AC-B538-458d-9737-405883B0398D}">
          <x14:cacheField ignore="1"/>
        </ext>
      </extLst>
    </cacheField>
  </cacheFields>
  <cacheHierarchies count="24">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Month]" caption="Month" attribute="1" defaultMemberUniqueName="[Table2].[Month].[All]" allUniqueName="[Table2].[Month].[All]" dimensionUniqueName="[Table2]" displayFolder="" count="2" memberValueDatatype="130" unbalanced="0">
      <fieldsUsage count="2">
        <fieldUsage x="-1"/>
        <fieldUsage x="1"/>
      </fieldsUsage>
    </cacheHierarchy>
    <cacheHierarchy uniqueName="[Table2].[Income sources]" caption="Income sources" attribute="1" defaultMemberUniqueName="[Table2].[Income sources].[All]" allUniqueName="[Table2].[Income sources].[All]" dimensionUniqueName="[Table2]" displayFolder="" count="2" memberValueDatatype="130" unbalanced="0">
      <fieldsUsage count="2">
        <fieldUsage x="-1"/>
        <fieldUsage x="4"/>
      </fieldsUsage>
    </cacheHierarchy>
    <cacheHierarchy uniqueName="[Table2].[Income Breakdowns]" caption="Income Breakdowns" attribute="1" defaultMemberUniqueName="[Table2].[Income Breakdowns].[All]" allUniqueName="[Table2].[Income Breakdowns].[All]" dimensionUniqueName="[Table2]" displayFolder="" count="2" memberValueDatatype="130" unbalanced="0">
      <fieldsUsage count="2">
        <fieldUsage x="-1"/>
        <fieldUsage x="5"/>
      </fieldsUsage>
    </cacheHierarchy>
    <cacheHierarchy uniqueName="[Table2].[Counts]" caption="Counts" attribute="1" defaultMemberUniqueName="[Table2].[Counts].[All]" allUniqueName="[Table2].[Counts].[All]" dimensionUniqueName="[Table2]" displayFolder="" count="0" memberValueDatatype="20" unbalanced="0"/>
    <cacheHierarchy uniqueName="[Table2].[Income]" caption="Income" attribute="1" defaultMemberUniqueName="[Table2].[Income].[All]" allUniqueName="[Table2].[Income].[All]" dimensionUniqueName="[Table2]" displayFolder="" count="0" memberValueDatatype="20" unbalanced="0"/>
    <cacheHierarchy uniqueName="[Table2].[Target Income]" caption="Target Income" attribute="1" defaultMemberUniqueName="[Table2].[Target Income].[All]" allUniqueName="[Table2].[Target Income].[All]" dimensionUniqueName="[Table2]" displayFolder="" count="0" memberValueDatatype="20" unbalanced="0"/>
    <cacheHierarchy uniqueName="[Table2].[Operating profit]" caption="Operating profit" attribute="1" defaultMemberUniqueName="[Table2].[Operating profit].[All]" allUniqueName="[Table2].[Operating profit].[All]" dimensionUniqueName="[Table2]" displayFolder="" count="0" memberValueDatatype="20" unbalanced="0"/>
    <cacheHierarchy uniqueName="[Table2].[Marketing Strategies]" caption="Marketing Strategies" attribute="1" defaultMemberUniqueName="[Table2].[Marketing Strategies].[All]" allUniqueName="[Table2].[Marketing Strategies].[All]" dimensionUniqueName="[Table2]" displayFolder="" count="2" memberValueDatatype="130" unbalanced="0">
      <fieldsUsage count="2">
        <fieldUsage x="-1"/>
        <fieldUsage x="2"/>
      </fieldsUsage>
    </cacheHierarchy>
    <cacheHierarchy uniqueName="[Table2].[date]" caption="date" attribute="1" time="1" defaultMemberUniqueName="[Table2].[date].[All]" allUniqueName="[Table2].[date].[All]" dimensionUniqueName="[Table2]" displayFolder="" count="0" memberValueDatatype="7" unbalanced="0"/>
    <cacheHierarchy uniqueName="[Table2].[date (Month)]" caption="date (Month)" attribute="1" defaultMemberUniqueName="[Table2].[date (Month)].[All]" allUniqueName="[Table2].[date (Month)].[All]" dimensionUniqueName="[Table2]" displayFolder="" count="0" memberValueDatatype="130"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Income]" caption="Sum of Income" measure="1" displayFolder="" measureGroup="Table2"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Target Income]" caption="Sum of Target Income" measure="1" displayFolder="" measureGroup="Table2" count="0" hidden="1">
      <extLst>
        <ext xmlns:x15="http://schemas.microsoft.com/office/spreadsheetml/2010/11/main" uri="{B97F6D7D-B522-45F9-BDA1-12C45D357490}">
          <x15:cacheHierarchy aggregatedColumn="6"/>
        </ext>
      </extLst>
    </cacheHierarchy>
    <cacheHierarchy uniqueName="[Measures].[Sum of Counts]" caption="Sum of Counts" measure="1" displayFolder="" measureGroup="Table2" count="0" hidden="1">
      <extLst>
        <ext xmlns:x15="http://schemas.microsoft.com/office/spreadsheetml/2010/11/main" uri="{B97F6D7D-B522-45F9-BDA1-12C45D357490}">
          <x15:cacheHierarchy aggregatedColumn="4"/>
        </ext>
      </extLst>
    </cacheHierarchy>
    <cacheHierarchy uniqueName="[Measures].[Sum of Operating profit]" caption="Sum of Operating profit" measure="1" displayFolder="" measureGroup="Table2"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Table2" count="0" hidden="1">
      <extLst>
        <ext xmlns:x15="http://schemas.microsoft.com/office/spreadsheetml/2010/11/main" uri="{B97F6D7D-B522-45F9-BDA1-12C45D357490}">
          <x15:cacheHierarchy aggregatedColumn="10"/>
        </ext>
      </extLst>
    </cacheHierarchy>
    <cacheHierarchy uniqueName="[Measures].[Count of Marketing Strategies]" caption="Count of Marketing Strategies" measure="1" displayFolder="" measureGroup="Table2" count="0" hidden="1">
      <extLst>
        <ext xmlns:x15="http://schemas.microsoft.com/office/spreadsheetml/2010/11/main" uri="{B97F6D7D-B522-45F9-BDA1-12C45D357490}">
          <x15:cacheHierarchy aggregatedColumn="8"/>
        </ext>
      </extLst>
    </cacheHierarchy>
    <cacheHierarchy uniqueName="[Measures].[Count of Income sources]" caption="Count of Income sources" measure="1" displayFolder="" measureGroup="Table2" count="0" hidden="1">
      <extLst>
        <ext xmlns:x15="http://schemas.microsoft.com/office/spreadsheetml/2010/11/main" uri="{B97F6D7D-B522-45F9-BDA1-12C45D357490}">
          <x15:cacheHierarchy aggregatedColumn="2"/>
        </ext>
      </extLst>
    </cacheHierarchy>
    <cacheHierarchy uniqueName="Dummy0" caption="Yea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5883.593970138892" backgroundQuery="1" createdVersion="7" refreshedVersion="7" minRefreshableVersion="3" recordCount="0" supportSubquery="1" supportAdvancedDrill="1">
  <cacheSource type="external" connectionId="1"/>
  <cacheFields count="9">
    <cacheField name="[Measures].[Sum of Income]" caption="Sum of Income" numFmtId="0" hierarchy="16" level="32767"/>
    <cacheField name="[Table2].[date (Month)].[date (Month)]" caption="date (Month)" numFmtId="0" hierarchy="10" level="1">
      <sharedItems count="9">
        <s v="Jan"/>
        <s v="Feb"/>
        <s v="Mar"/>
        <s v="Jun"/>
        <s v="Aug"/>
        <s v="Sep"/>
        <s v="Oct"/>
        <s v="Nov"/>
        <s v="Dec"/>
      </sharedItems>
    </cacheField>
    <cacheField name="[Table2].[date (Year)].[date (Year)]" caption="date (Year)" numFmtId="0" hierarchy="11" level="1">
      <sharedItems count="2">
        <s v="2024"/>
        <s v="2025"/>
      </sharedItems>
    </cacheField>
    <cacheField name="[Measures].[Sum of Operating profit]" caption="Sum of Operating profit" numFmtId="0" hierarchy="19" level="32767"/>
    <cacheField name="[Measures].[Sum of Counts]" caption="Sum of Counts" numFmtId="0" hierarchy="18" level="32767"/>
    <cacheField name="[Measures].[Sum of Target Income]" caption="Sum of Target Income" numFmtId="0" hierarchy="17" level="32767"/>
    <cacheField name="[Table2].[Year].[Year]" caption="Year" numFmtId="0" level="1">
      <sharedItems containsSemiMixedTypes="0" containsNonDate="0" containsString="0"/>
    </cacheField>
    <cacheField name="[Table2].[Income sources].[Income sources]" caption="Income sources" numFmtId="0" hierarchy="2" level="1">
      <sharedItems containsSemiMixedTypes="0" containsNonDate="0" containsString="0"/>
    </cacheField>
    <cacheField name="Dummy0" numFmtId="0" hierarchy="23" level="32767">
      <extLst>
        <ext xmlns:x14="http://schemas.microsoft.com/office/spreadsheetml/2009/9/main" uri="{63CAB8AC-B538-458d-9737-405883B0398D}">
          <x14:cacheField ignore="1"/>
        </ext>
      </extLst>
    </cacheField>
  </cacheFields>
  <cacheHierarchies count="24">
    <cacheHierarchy uniqueName="[Table2].[Year]" caption="Year" attribute="1" defaultMemberUniqueName="[Table2].[Year].[All]" allUniqueName="[Table2].[Year].[All]" dimensionUniqueName="[Table2]" displayFolder="" count="2" memberValueDatatype="20" unbalanced="0">
      <fieldsUsage count="2">
        <fieldUsage x="-1"/>
        <fieldUsage x="6"/>
      </fieldsUsage>
    </cacheHierarchy>
    <cacheHierarchy uniqueName="[Table2].[Month]" caption="Month" attribute="1" defaultMemberUniqueName="[Table2].[Month].[All]" allUniqueName="[Table2].[Month].[All]" dimensionUniqueName="[Table2]" displayFolder="" count="0" memberValueDatatype="130" unbalanced="0"/>
    <cacheHierarchy uniqueName="[Table2].[Income sources]" caption="Income sources" attribute="1" defaultMemberUniqueName="[Table2].[Income sources].[All]" allUniqueName="[Table2].[Income sources].[All]" dimensionUniqueName="[Table2]" displayFolder="" count="2" memberValueDatatype="130" unbalanced="0">
      <fieldsUsage count="2">
        <fieldUsage x="-1"/>
        <fieldUsage x="7"/>
      </fieldsUsage>
    </cacheHierarchy>
    <cacheHierarchy uniqueName="[Table2].[Income Breakdowns]" caption="Income Breakdowns" attribute="1" defaultMemberUniqueName="[Table2].[Income Breakdowns].[All]" allUniqueName="[Table2].[Income Breakdowns].[All]" dimensionUniqueName="[Table2]" displayFolder="" count="0" memberValueDatatype="130" unbalanced="0"/>
    <cacheHierarchy uniqueName="[Table2].[Counts]" caption="Counts" attribute="1" defaultMemberUniqueName="[Table2].[Counts].[All]" allUniqueName="[Table2].[Counts].[All]" dimensionUniqueName="[Table2]" displayFolder="" count="0" memberValueDatatype="20" unbalanced="0"/>
    <cacheHierarchy uniqueName="[Table2].[Income]" caption="Income" attribute="1" defaultMemberUniqueName="[Table2].[Income].[All]" allUniqueName="[Table2].[Income].[All]" dimensionUniqueName="[Table2]" displayFolder="" count="0" memberValueDatatype="20" unbalanced="0"/>
    <cacheHierarchy uniqueName="[Table2].[Target Income]" caption="Target Income" attribute="1" defaultMemberUniqueName="[Table2].[Target Income].[All]" allUniqueName="[Table2].[Target Income].[All]" dimensionUniqueName="[Table2]" displayFolder="" count="0" memberValueDatatype="20" unbalanced="0"/>
    <cacheHierarchy uniqueName="[Table2].[Operating profit]" caption="Operating profit" attribute="1" defaultMemberUniqueName="[Table2].[Operating profit].[All]" allUniqueName="[Table2].[Operating profit].[All]" dimensionUniqueName="[Table2]" displayFolder="" count="0" memberValueDatatype="20" unbalanced="0"/>
    <cacheHierarchy uniqueName="[Table2].[Marketing Strategies]" caption="Marketing Strategies" attribute="1" defaultMemberUniqueName="[Table2].[Marketing Strategies].[All]" allUniqueName="[Table2].[Marketing Strategies].[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1"/>
      </fieldsUsage>
    </cacheHierarchy>
    <cacheHierarchy uniqueName="[Table2].[date (Year)]" caption="date (Year)" attribute="1" defaultMemberUniqueName="[Table2].[date (Year)].[All]" allUniqueName="[Table2].[date (Year)].[All]" dimensionUniqueName="[Table2]" displayFolder="" count="2" memberValueDatatype="130" unbalanced="0">
      <fieldsUsage count="2">
        <fieldUsage x="-1"/>
        <fieldUsage x="2"/>
      </fieldsUsage>
    </cacheHierarchy>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Income]" caption="Sum of Income" measure="1" displayFolder="" measureGroup="Table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Target Income]" caption="Sum of Target Income" measure="1" displayFolder="" measureGroup="Table2" count="0" oneField="1" hidden="1">
      <fieldsUsage count="1">
        <fieldUsage x="5"/>
      </fieldsUsage>
      <extLst>
        <ext xmlns:x15="http://schemas.microsoft.com/office/spreadsheetml/2010/11/main" uri="{B97F6D7D-B522-45F9-BDA1-12C45D357490}">
          <x15:cacheHierarchy aggregatedColumn="6"/>
        </ext>
      </extLst>
    </cacheHierarchy>
    <cacheHierarchy uniqueName="[Measures].[Sum of Counts]" caption="Sum of Counts" measure="1" displayFolder="" measureGroup="Table2"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Operating profit]" caption="Sum of Operating profit" measure="1" displayFolder="" measureGroup="Table2"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Table2" count="0" hidden="1">
      <extLst>
        <ext xmlns:x15="http://schemas.microsoft.com/office/spreadsheetml/2010/11/main" uri="{B97F6D7D-B522-45F9-BDA1-12C45D357490}">
          <x15:cacheHierarchy aggregatedColumn="10"/>
        </ext>
      </extLst>
    </cacheHierarchy>
    <cacheHierarchy uniqueName="[Measures].[Count of Marketing Strategies]" caption="Count of Marketing Strategies" measure="1" displayFolder="" measureGroup="Table2" count="0" hidden="1">
      <extLst>
        <ext xmlns:x15="http://schemas.microsoft.com/office/spreadsheetml/2010/11/main" uri="{B97F6D7D-B522-45F9-BDA1-12C45D357490}">
          <x15:cacheHierarchy aggregatedColumn="8"/>
        </ext>
      </extLst>
    </cacheHierarchy>
    <cacheHierarchy uniqueName="[Measures].[Count of Income sources]" caption="Count of Income sources" measure="1" displayFolder="" measureGroup="Table2" count="0" hidden="1">
      <extLst>
        <ext xmlns:x15="http://schemas.microsoft.com/office/spreadsheetml/2010/11/main" uri="{B97F6D7D-B522-45F9-BDA1-12C45D357490}">
          <x15:cacheHierarchy aggregatedColumn="2"/>
        </ext>
      </extLst>
    </cacheHierarchy>
    <cacheHierarchy uniqueName="Dummy0" caption="Yea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5883.511484374998" backgroundQuery="1" createdVersion="3" refreshedVersion="7"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2].[Year]" caption="Year" attribute="1" defaultMemberUniqueName="[Table2].[Year].[All]" allUniqueName="[Table2].[Year].[All]" dimensionUniqueName="[Table2]" displayFolder="" count="2" memberValueDatatype="20" unbalanced="0"/>
    <cacheHierarchy uniqueName="[Table2].[Month]" caption="Month" attribute="1" defaultMemberUniqueName="[Table2].[Month].[All]" allUniqueName="[Table2].[Month].[All]" dimensionUniqueName="[Table2]" displayFolder="" count="0" memberValueDatatype="130" unbalanced="0"/>
    <cacheHierarchy uniqueName="[Table2].[Income sources]" caption="Income sources" attribute="1" defaultMemberUniqueName="[Table2].[Income sources].[All]" allUniqueName="[Table2].[Income sources].[All]" dimensionUniqueName="[Table2]" displayFolder="" count="0" memberValueDatatype="130" unbalanced="0"/>
    <cacheHierarchy uniqueName="[Table2].[Income Breakdowns]" caption="Income Breakdowns" attribute="1" defaultMemberUniqueName="[Table2].[Income Breakdowns].[All]" allUniqueName="[Table2].[Income Breakdowns].[All]" dimensionUniqueName="[Table2]" displayFolder="" count="0" memberValueDatatype="130" unbalanced="0"/>
    <cacheHierarchy uniqueName="[Table2].[Counts]" caption="Counts" attribute="1" defaultMemberUniqueName="[Table2].[Counts].[All]" allUniqueName="[Table2].[Counts].[All]" dimensionUniqueName="[Table2]" displayFolder="" count="0" memberValueDatatype="20" unbalanced="0"/>
    <cacheHierarchy uniqueName="[Table2].[Income]" caption="Income" attribute="1" defaultMemberUniqueName="[Table2].[Income].[All]" allUniqueName="[Table2].[Income].[All]" dimensionUniqueName="[Table2]" displayFolder="" count="0" memberValueDatatype="20" unbalanced="0"/>
    <cacheHierarchy uniqueName="[Table2].[Target Income]" caption="Target Income" attribute="1" defaultMemberUniqueName="[Table2].[Target Income].[All]" allUniqueName="[Table2].[Target Income].[All]" dimensionUniqueName="[Table2]" displayFolder="" count="0" memberValueDatatype="20" unbalanced="0"/>
    <cacheHierarchy uniqueName="[Table2].[Operating profit]" caption="Operating profit" attribute="1" defaultMemberUniqueName="[Table2].[Operating profit].[All]" allUniqueName="[Table2].[Operating profit].[All]" dimensionUniqueName="[Table2]" displayFolder="" count="0" memberValueDatatype="20" unbalanced="0"/>
    <cacheHierarchy uniqueName="[Table2].[Marketing Strategies]" caption="Marketing Strategies" attribute="1" defaultMemberUniqueName="[Table2].[Marketing Strategies].[All]" allUniqueName="[Table2].[Marketing Strategies].[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date (Month)]" caption="date (Month)" attribute="1" defaultMemberUniqueName="[Table2].[date (Month)].[All]" allUniqueName="[Table2].[date (Month)].[All]" dimensionUniqueName="[Table2]" displayFolder="" count="0" memberValueDatatype="130"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Income]" caption="Sum of Income" measure="1" displayFolder="" measureGroup="Table2" count="0" hidden="1">
      <extLst>
        <ext xmlns:x15="http://schemas.microsoft.com/office/spreadsheetml/2010/11/main" uri="{B97F6D7D-B522-45F9-BDA1-12C45D357490}">
          <x15:cacheHierarchy aggregatedColumn="5"/>
        </ext>
      </extLst>
    </cacheHierarchy>
    <cacheHierarchy uniqueName="[Measures].[Sum of Target Income]" caption="Sum of Target Income" measure="1" displayFolder="" measureGroup="Table2" count="0" hidden="1">
      <extLst>
        <ext xmlns:x15="http://schemas.microsoft.com/office/spreadsheetml/2010/11/main" uri="{B97F6D7D-B522-45F9-BDA1-12C45D357490}">
          <x15:cacheHierarchy aggregatedColumn="6"/>
        </ext>
      </extLst>
    </cacheHierarchy>
    <cacheHierarchy uniqueName="[Measures].[Sum of Counts]" caption="Sum of Counts" measure="1" displayFolder="" measureGroup="Table2" count="0" hidden="1">
      <extLst>
        <ext xmlns:x15="http://schemas.microsoft.com/office/spreadsheetml/2010/11/main" uri="{B97F6D7D-B522-45F9-BDA1-12C45D357490}">
          <x15:cacheHierarchy aggregatedColumn="4"/>
        </ext>
      </extLst>
    </cacheHierarchy>
    <cacheHierarchy uniqueName="[Measures].[Sum of Operating profit]" caption="Sum of Operating profit" measure="1" displayFolder="" measureGroup="Table2"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Table2"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204156611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5883.535067245371" backgroundQuery="1" createdVersion="3" refreshedVersion="7"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Table2].[Income sources]" caption="Income sources" attribute="1" defaultMemberUniqueName="[Table2].[Income sources].[All]" allUniqueName="[Table2].[Income sources].[All]" dimensionUniqueName="[Table2]" displayFolder="" count="2" memberValueDatatype="130" unbalanced="0"/>
    <cacheHierarchy uniqueName="[Table2].[Income Breakdowns]" caption="Income Breakdowns" attribute="1" defaultMemberUniqueName="[Table2].[Income Breakdowns].[All]" allUniqueName="[Table2].[Income Breakdowns].[All]" dimensionUniqueName="[Table2]" displayFolder="" count="0" memberValueDatatype="130" unbalanced="0"/>
    <cacheHierarchy uniqueName="[Table2].[Counts]" caption="Counts" attribute="1" defaultMemberUniqueName="[Table2].[Counts].[All]" allUniqueName="[Table2].[Counts].[All]" dimensionUniqueName="[Table2]" displayFolder="" count="0" memberValueDatatype="20" unbalanced="0"/>
    <cacheHierarchy uniqueName="[Table2].[Income]" caption="Income" attribute="1" defaultMemberUniqueName="[Table2].[Income].[All]" allUniqueName="[Table2].[Income].[All]" dimensionUniqueName="[Table2]" displayFolder="" count="0" memberValueDatatype="20" unbalanced="0"/>
    <cacheHierarchy uniqueName="[Table2].[Target Income]" caption="Target Income" attribute="1" defaultMemberUniqueName="[Table2].[Target Income].[All]" allUniqueName="[Table2].[Target Income].[All]" dimensionUniqueName="[Table2]" displayFolder="" count="0" memberValueDatatype="20" unbalanced="0"/>
    <cacheHierarchy uniqueName="[Table2].[Operating profit]" caption="Operating profit" attribute="1" defaultMemberUniqueName="[Table2].[Operating profit].[All]" allUniqueName="[Table2].[Operating profit].[All]" dimensionUniqueName="[Table2]" displayFolder="" count="0" memberValueDatatype="20" unbalanced="0"/>
    <cacheHierarchy uniqueName="[Table2].[Marketing Strategies]" caption="Marketing Strategies" attribute="1" defaultMemberUniqueName="[Table2].[Marketing Strategies].[All]" allUniqueName="[Table2].[Marketing Strategies].[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date (Month)]" caption="date (Month)" attribute="1" defaultMemberUniqueName="[Table2].[date (Month)].[All]" allUniqueName="[Table2].[date (Month)].[All]" dimensionUniqueName="[Table2]" displayFolder="" count="0" memberValueDatatype="130"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Income]" caption="Sum of Income" measure="1" displayFolder="" measureGroup="Table2" count="0" hidden="1">
      <extLst>
        <ext xmlns:x15="http://schemas.microsoft.com/office/spreadsheetml/2010/11/main" uri="{B97F6D7D-B522-45F9-BDA1-12C45D357490}">
          <x15:cacheHierarchy aggregatedColumn="5"/>
        </ext>
      </extLst>
    </cacheHierarchy>
    <cacheHierarchy uniqueName="[Measures].[Sum of Target Income]" caption="Sum of Target Income" measure="1" displayFolder="" measureGroup="Table2" count="0" hidden="1">
      <extLst>
        <ext xmlns:x15="http://schemas.microsoft.com/office/spreadsheetml/2010/11/main" uri="{B97F6D7D-B522-45F9-BDA1-12C45D357490}">
          <x15:cacheHierarchy aggregatedColumn="6"/>
        </ext>
      </extLst>
    </cacheHierarchy>
    <cacheHierarchy uniqueName="[Measures].[Sum of Counts]" caption="Sum of Counts" measure="1" displayFolder="" measureGroup="Table2" count="0" hidden="1">
      <extLst>
        <ext xmlns:x15="http://schemas.microsoft.com/office/spreadsheetml/2010/11/main" uri="{B97F6D7D-B522-45F9-BDA1-12C45D357490}">
          <x15:cacheHierarchy aggregatedColumn="4"/>
        </ext>
      </extLst>
    </cacheHierarchy>
    <cacheHierarchy uniqueName="[Measures].[Sum of Operating profit]" caption="Sum of Operating profit" measure="1" displayFolder="" measureGroup="Table2"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Table2" count="0" hidden="1">
      <extLst>
        <ext xmlns:x15="http://schemas.microsoft.com/office/spreadsheetml/2010/11/main" uri="{B97F6D7D-B522-45F9-BDA1-12C45D357490}">
          <x15:cacheHierarchy aggregatedColumn="10"/>
        </ext>
      </extLst>
    </cacheHierarchy>
    <cacheHierarchy uniqueName="[Measures].[Count of Marketing Strategies]" caption="Count of Marketing Strategies" measure="1" displayFolder="" measureGroup="Table2" count="0" hidden="1">
      <extLst>
        <ext xmlns:x15="http://schemas.microsoft.com/office/spreadsheetml/2010/11/main" uri="{B97F6D7D-B522-45F9-BDA1-12C45D357490}">
          <x15:cacheHierarchy aggregatedColumn="8"/>
        </ext>
      </extLst>
    </cacheHierarchy>
    <cacheHierarchy uniqueName="[Measures].[Count of Income sources]" caption="Count of Income sources" measure="1" displayFolder="" measureGroup="Table2"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8438464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3">
  <location ref="AB4:AC1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Sum of Operating profit" fld="2" baseField="0" baseItem="0" numFmtId="3"/>
  </dataFields>
  <formats count="1">
    <format dxfId="0">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3">
    <pivotHierarchy multipleItemSelectionAllowed="1" dragToData="1">
      <members count="1" level="1">
        <member name="[Table2].[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ercentage of income"/>
    <pivotHierarchy dragToData="1"/>
    <pivotHierarchy dragToData="1"/>
    <pivotHierarchy dragToData="1"/>
    <pivotHierarchy dragToData="1"/>
    <pivotHierarchy dragToData="1"/>
    <pivotHierarchy dragToData="1"/>
  </pivotHierarchies>
  <pivotTableStyleInfo name="PivotStyleDark12"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Income_Data (version 2).xlsb!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0" cacheId="6"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location ref="A130:G140" firstHeaderRow="0" firstDataRow="1" firstDataCol="2"/>
  <pivotFields count="9">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9">
        <item x="8"/>
        <item x="7"/>
        <item x="6"/>
        <item x="5"/>
        <item x="4"/>
        <item x="3"/>
        <item x="2"/>
        <item x="1"/>
        <item x="0"/>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2">
        <item s="1" x="1" e="0"/>
        <item s="1" x="0"/>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0">
    <i>
      <x/>
    </i>
    <i>
      <x v="1"/>
      <x/>
    </i>
    <i r="1">
      <x v="1"/>
    </i>
    <i r="1">
      <x v="2"/>
    </i>
    <i r="1">
      <x v="3"/>
    </i>
    <i r="1">
      <x v="4"/>
    </i>
    <i r="1">
      <x v="5"/>
    </i>
    <i r="1">
      <x v="6"/>
    </i>
    <i r="1">
      <x v="7"/>
    </i>
    <i r="1">
      <x v="8"/>
    </i>
  </rowItems>
  <colFields count="1">
    <field x="-2"/>
  </colFields>
  <colItems count="5">
    <i>
      <x/>
    </i>
    <i i="1">
      <x v="1"/>
    </i>
    <i i="2">
      <x v="2"/>
    </i>
    <i i="3">
      <x v="3"/>
    </i>
    <i i="4">
      <x v="4"/>
    </i>
  </colItems>
  <dataFields count="5">
    <dataField name="Sum of Income" fld="0" baseField="0" baseItem="0"/>
    <dataField name="Sum of Operating profit" fld="3" baseField="0" baseItem="0"/>
    <dataField name="Operating profit%" fld="8" showDataAs="percentOfCol" baseField="2" baseItem="0" numFmtId="10">
      <extLst>
        <ext xmlns:x14="http://schemas.microsoft.com/office/spreadsheetml/2009/9/main" uri="{E15A36E0-9728-4e99-A89B-3F7291B0FE68}">
          <x14:dataField sourceField="3" uniqueName="[__Xl2].[Measures].[Sum of Operating profit]"/>
        </ext>
      </extLst>
    </dataField>
    <dataField name="Sum of Counts" fld="4" baseField="0" baseItem="0"/>
    <dataField name="Sum of Target Income" fld="5" baseField="0" baseItem="0"/>
  </dataFields>
  <formats count="8">
    <format dxfId="8">
      <pivotArea outline="0" fieldPosition="0">
        <references count="2">
          <reference field="1" count="1" selected="0">
            <x v="8"/>
          </reference>
          <reference field="2" count="1" selected="0">
            <x v="0"/>
          </reference>
        </references>
      </pivotArea>
    </format>
    <format dxfId="7">
      <pivotArea outline="0" fieldPosition="0">
        <references count="2">
          <reference field="1" count="1" selected="0">
            <x v="0"/>
          </reference>
          <reference field="2" count="1" selected="0">
            <x v="1"/>
          </reference>
        </references>
      </pivotArea>
    </format>
    <format dxfId="6">
      <pivotArea outline="0" fieldPosition="0">
        <references count="2">
          <reference field="4294967294" count="1" selected="0">
            <x v="0"/>
          </reference>
          <reference field="2" count="1" selected="0">
            <x v="0"/>
          </reference>
        </references>
      </pivotArea>
    </format>
    <format dxfId="5">
      <pivotArea outline="0" fieldPosition="0">
        <references count="2">
          <reference field="4294967294" count="1" selected="0">
            <x v="1"/>
          </reference>
          <reference field="2" count="1" selected="0">
            <x v="0"/>
          </reference>
        </references>
      </pivotArea>
    </format>
    <format dxfId="4">
      <pivotArea outline="0" fieldPosition="0">
        <references count="2">
          <reference field="4294967294" count="1" selected="0">
            <x v="2"/>
          </reference>
          <reference field="2" count="1" selected="0">
            <x v="0"/>
          </reference>
        </references>
      </pivotArea>
    </format>
    <format dxfId="3">
      <pivotArea outline="0" fieldPosition="0">
        <references count="2">
          <reference field="4294967294" count="1" selected="0">
            <x v="3"/>
          </reference>
          <reference field="2" count="1" selected="0">
            <x v="0"/>
          </reference>
        </references>
      </pivotArea>
    </format>
    <format dxfId="2">
      <pivotArea outline="0" fieldPosition="0">
        <references count="2">
          <reference field="4294967294" count="1" selected="0">
            <x v="4"/>
          </reference>
          <reference field="2" count="1" selected="0">
            <x v="0"/>
          </reference>
        </references>
      </pivotArea>
    </format>
    <format dxfId="1">
      <pivotArea outline="0" fieldPosition="0">
        <references count="2">
          <reference field="4294967294" count="1" selected="0">
            <x v="2"/>
          </reference>
          <reference field="2" count="1" selected="0">
            <x v="0"/>
          </reference>
        </references>
      </pivotArea>
    </format>
  </formats>
  <pivotHierarchies count="24">
    <pivotHierarchy multipleItemSelectionAllowed="1" dragToData="1">
      <members count="2" level="1">
        <member name="[Table2].[Year].&amp;[2024]"/>
        <member name="[Table2].[Year].&amp;[2025]"/>
      </members>
    </pivotHierarchy>
    <pivotHierarchy dragToData="1"/>
    <pivotHierarchy multipleItemSelectionAllowed="1" dragToData="1">
      <members count="1" level="1">
        <member name="[Table2].[Income sources].&amp;[Rent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income %"/>
    <pivotHierarchy dragToData="1"/>
    <pivotHierarchy dragToData="1"/>
    <pivotHierarchy dragToData="1" caption="Operating profit%"/>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ynthetic_Income_Data (version 2).xlsb!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8">
  <location ref="AG4:AI7" firstHeaderRow="0" firstDataRow="1" firstDataCol="1"/>
  <pivotFields count="5">
    <pivotField allDrilled="1" subtotalTop="0" showAll="0" dataSourceSort="1" defaultSubtotal="0" defaultAttributeDrillState="1"/>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
        <item s="1" x="0"/>
        <item s="1"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Sum of Income" fld="3" baseField="0" baseItem="0"/>
    <dataField name="profit%" fld="4" showDataAs="percentOfCol" baseField="2" baseItem="0" numFmtId="10">
      <extLst>
        <ext xmlns:x14="http://schemas.microsoft.com/office/spreadsheetml/2009/9/main" uri="{E15A36E0-9728-4e99-A89B-3F7291B0FE68}">
          <x14:dataField sourceField="3" uniqueName="[__Xl2].[Measures].[Sum of Income]"/>
        </ext>
      </extLst>
    </dataField>
  </dataFields>
  <formats count="2">
    <format dxfId="10">
      <pivotArea outline="0" collapsedLevelsAreSubtotals="1" fieldPosition="0"/>
    </format>
    <format dxfId="9">
      <pivotArea outline="0" fieldPosition="0">
        <references count="1">
          <reference field="4294967294" count="1">
            <x v="1"/>
          </reference>
        </references>
      </pivotArea>
    </format>
  </formats>
  <chartFormats count="6">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2" count="1" selected="0">
            <x v="0"/>
          </reference>
        </references>
      </pivotArea>
    </chartFormat>
    <chartFormat chart="17" format="10">
      <pivotArea type="data" outline="0" fieldPosition="0">
        <references count="2">
          <reference field="4294967294" count="1" selected="0">
            <x v="0"/>
          </reference>
          <reference field="2" count="1" selected="0">
            <x v="1"/>
          </reference>
        </references>
      </pivotArea>
    </chartFormat>
    <chartFormat chart="17" format="11" series="1">
      <pivotArea type="data" outline="0" fieldPosition="0">
        <references count="1">
          <reference field="4294967294" count="1" selected="0">
            <x v="1"/>
          </reference>
        </references>
      </pivotArea>
    </chartFormat>
    <chartFormat chart="17" format="12">
      <pivotArea type="data" outline="0" fieldPosition="0">
        <references count="2">
          <reference field="4294967294" count="1" selected="0">
            <x v="1"/>
          </reference>
          <reference field="2" count="1" selected="0">
            <x v="0"/>
          </reference>
        </references>
      </pivotArea>
    </chartFormat>
    <chartFormat chart="17" format="13">
      <pivotArea type="data" outline="0" fieldPosition="0">
        <references count="2">
          <reference field="4294967294" count="1" selected="0">
            <x v="1"/>
          </reference>
          <reference field="2" count="1" selected="0">
            <x v="1"/>
          </reference>
        </references>
      </pivotArea>
    </chartFormat>
  </chartFormats>
  <pivotHierarchies count="24">
    <pivotHierarchy multipleItemSelectionAllowed="1" dragToData="1">
      <members count="1" level="1">
        <member name="[Table2].[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Dark12"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Income_Data (version 2).xlsb!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location ref="A1:E7" firstHeaderRow="0"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i>
    <i>
      <x v="1"/>
    </i>
    <i>
      <x v="2"/>
    </i>
    <i>
      <x v="3"/>
    </i>
    <i>
      <x v="4"/>
    </i>
    <i>
      <x v="5"/>
    </i>
  </rowItems>
  <colFields count="1">
    <field x="-2"/>
  </colFields>
  <colItems count="4">
    <i>
      <x/>
    </i>
    <i i="1">
      <x v="1"/>
    </i>
    <i i="2">
      <x v="2"/>
    </i>
    <i i="3">
      <x v="3"/>
    </i>
  </colItems>
  <dataFields count="4">
    <dataField name="Sum of Income" fld="1" baseField="0" baseItem="0"/>
    <dataField name="income%" fld="4" showDataAs="percentOfCol" baseField="0" baseItem="1" numFmtId="9">
      <extLst>
        <ext xmlns:x14="http://schemas.microsoft.com/office/spreadsheetml/2009/9/main" uri="{E15A36E0-9728-4e99-A89B-3F7291B0FE68}">
          <x14:dataField sourceField="1" uniqueName="[__Xl2].[Measures].[Sum of Income]"/>
        </ext>
      </extLst>
    </dataField>
    <dataField name="Sum of Counts" fld="3" baseField="0" baseItem="0"/>
    <dataField name="Sum of Counts2" fld="5" showDataAs="percentOfCol" baseField="0" baseItem="0" numFmtId="9">
      <extLst>
        <ext xmlns:x14="http://schemas.microsoft.com/office/spreadsheetml/2009/9/main" uri="{E15A36E0-9728-4e99-A89B-3F7291B0FE68}">
          <x14:dataField sourceField="3" uniqueName="[__Xl2].[Measures].[Sum of Counts]"/>
        </ext>
      </extLst>
    </dataField>
  </dataFields>
  <formats count="1">
    <format dxfId="11">
      <pivotArea outline="0" collapsedLevelsAreSubtotals="1" fieldPosition="0">
        <references count="1">
          <reference field="4294967294" count="1" selected="0">
            <x v="1"/>
          </reference>
        </references>
      </pivotArea>
    </format>
  </formats>
  <pivotHierarchies count="25">
    <pivotHierarchy multipleItemSelectionAllowed="1" dragToData="1">
      <members count="1" level="1">
        <member name="[Table2].[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incom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Dark12"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Income_Data (version 2).xlsb!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8">
  <location ref="AG11:AI89" firstHeaderRow="0" firstDataRow="1" firstDataCol="1"/>
  <pivotFields count="7">
    <pivotField allDrilled="1" subtotalTop="0" showAll="0" dataSourceSort="1" defaultSubtotal="0" defaultAttributeDrillState="1"/>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4"/>
    <field x="5"/>
  </rowFields>
  <rowItems count="78">
    <i>
      <x/>
    </i>
    <i r="1">
      <x/>
    </i>
    <i r="1">
      <x v="1"/>
    </i>
    <i r="1">
      <x v="2"/>
    </i>
    <i r="1">
      <x v="3"/>
    </i>
    <i r="1">
      <x v="4"/>
    </i>
    <i r="1">
      <x v="5"/>
    </i>
    <i r="1">
      <x v="6"/>
    </i>
    <i r="1">
      <x v="7"/>
    </i>
    <i r="1">
      <x v="8"/>
    </i>
    <i r="1">
      <x v="9"/>
    </i>
    <i r="1">
      <x v="10"/>
    </i>
    <i r="1">
      <x v="11"/>
    </i>
    <i r="1">
      <x v="12"/>
    </i>
    <i>
      <x v="1"/>
    </i>
    <i r="1">
      <x v="1"/>
    </i>
    <i r="1">
      <x v="13"/>
    </i>
    <i r="1">
      <x v="2"/>
    </i>
    <i r="1">
      <x v="5"/>
    </i>
    <i r="1">
      <x v="7"/>
    </i>
    <i r="1">
      <x v="8"/>
    </i>
    <i r="1">
      <x v="9"/>
    </i>
    <i r="1">
      <x v="10"/>
    </i>
    <i r="1">
      <x v="11"/>
    </i>
    <i r="1">
      <x v="12"/>
    </i>
    <i>
      <x v="2"/>
    </i>
    <i r="1">
      <x/>
    </i>
    <i r="1">
      <x v="1"/>
    </i>
    <i r="1">
      <x v="13"/>
    </i>
    <i r="1">
      <x v="2"/>
    </i>
    <i r="1">
      <x v="3"/>
    </i>
    <i r="1">
      <x v="5"/>
    </i>
    <i r="1">
      <x v="6"/>
    </i>
    <i r="1">
      <x v="7"/>
    </i>
    <i r="1">
      <x v="8"/>
    </i>
    <i r="1">
      <x v="10"/>
    </i>
    <i r="1">
      <x v="14"/>
    </i>
    <i r="1">
      <x v="12"/>
    </i>
    <i>
      <x v="3"/>
    </i>
    <i r="1">
      <x/>
    </i>
    <i r="1">
      <x v="13"/>
    </i>
    <i r="1">
      <x v="2"/>
    </i>
    <i r="1">
      <x v="3"/>
    </i>
    <i r="1">
      <x v="4"/>
    </i>
    <i r="1">
      <x v="5"/>
    </i>
    <i r="1">
      <x v="6"/>
    </i>
    <i r="1">
      <x v="7"/>
    </i>
    <i r="1">
      <x v="8"/>
    </i>
    <i r="1">
      <x v="10"/>
    </i>
    <i r="1">
      <x v="11"/>
    </i>
    <i r="1">
      <x v="14"/>
    </i>
    <i r="1">
      <x v="12"/>
    </i>
    <i>
      <x v="4"/>
    </i>
    <i r="1">
      <x v="1"/>
    </i>
    <i r="1">
      <x v="13"/>
    </i>
    <i r="1">
      <x v="2"/>
    </i>
    <i r="1">
      <x v="3"/>
    </i>
    <i r="1">
      <x v="4"/>
    </i>
    <i r="1">
      <x v="7"/>
    </i>
    <i r="1">
      <x v="8"/>
    </i>
    <i r="1">
      <x v="9"/>
    </i>
    <i r="1">
      <x v="10"/>
    </i>
    <i r="1">
      <x v="11"/>
    </i>
    <i r="1">
      <x v="14"/>
    </i>
    <i r="1">
      <x v="12"/>
    </i>
    <i>
      <x v="5"/>
    </i>
    <i r="1">
      <x/>
    </i>
    <i r="1">
      <x v="1"/>
    </i>
    <i r="1">
      <x v="2"/>
    </i>
    <i r="1">
      <x v="3"/>
    </i>
    <i r="1">
      <x v="7"/>
    </i>
    <i r="1">
      <x v="8"/>
    </i>
    <i r="1">
      <x v="9"/>
    </i>
    <i r="1">
      <x v="10"/>
    </i>
    <i r="1">
      <x v="11"/>
    </i>
    <i r="1">
      <x v="14"/>
    </i>
    <i r="1">
      <x v="12"/>
    </i>
    <i t="grand">
      <x/>
    </i>
  </rowItems>
  <colFields count="1">
    <field x="-2"/>
  </colFields>
  <colItems count="2">
    <i>
      <x/>
    </i>
    <i i="1">
      <x v="1"/>
    </i>
  </colItems>
  <dataFields count="2">
    <dataField name="Sum of Income" fld="3" baseField="0" baseItem="0"/>
    <dataField name="profit%" fld="6" showDataAs="percentOfCol" baseField="2" baseItem="0" numFmtId="10">
      <extLst>
        <ext xmlns:x14="http://schemas.microsoft.com/office/spreadsheetml/2009/9/main" uri="{E15A36E0-9728-4e99-A89B-3F7291B0FE68}">
          <x14:dataField sourceField="3" uniqueName="[__Xl2].[Measures].[Sum of Income]"/>
        </ext>
      </extLst>
    </dataField>
  </dataFields>
  <formats count="2">
    <format dxfId="13">
      <pivotArea outline="0" collapsedLevelsAreSubtotals="1" fieldPosition="0"/>
    </format>
    <format dxfId="12">
      <pivotArea outline="0" fieldPosition="0">
        <references count="1">
          <reference field="4294967294" count="1">
            <x v="1"/>
          </reference>
        </references>
      </pivotArea>
    </format>
  </formats>
  <chartFormats count="2">
    <chartFormat chart="17" format="8"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1"/>
          </reference>
        </references>
      </pivotArea>
    </chartFormat>
  </chartFormats>
  <pivotHierarchies count="24">
    <pivotHierarchy multipleItemSelectionAllowed="1" dragToData="1">
      <members count="1" level="1">
        <member name="[Table2].[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Dark12" showRowHeaders="1" showColHeaders="1" showRowStripes="0" showColStripes="0" showLastColumn="1"/>
  <rowHierarchiesUsage count="2">
    <rowHierarchyUsage hierarchyUsage="2"/>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Income_Data (version 2).xlsb!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location ref="P4:Q5" firstHeaderRow="0" firstDataRow="1" firstDataCol="0"/>
  <pivotFields count="3">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2">
    <i>
      <x/>
    </i>
    <i i="1">
      <x v="1"/>
    </i>
  </colItems>
  <dataFields count="2">
    <dataField name="Sum of Income" fld="0" baseField="0" baseItem="0" numFmtId="3"/>
    <dataField name="Sum of Target Income" fld="2" baseField="0" baseItem="0" numFmtId="3"/>
  </dataFields>
  <formats count="2">
    <format dxfId="15">
      <pivotArea outline="0" collapsedLevelsAreSubtotals="1" fieldPosition="0">
        <references count="1">
          <reference field="4294967294" count="1" selected="0">
            <x v="1"/>
          </reference>
        </references>
      </pivotArea>
    </format>
    <format dxfId="14">
      <pivotArea outline="0" collapsedLevelsAreSubtotals="1" fieldPosition="0">
        <references count="1">
          <reference field="4294967294" count="1" selected="0">
            <x v="0"/>
          </reference>
        </references>
      </pivotArea>
    </format>
  </formats>
  <pivotHierarchies count="23">
    <pivotHierarchy multipleItemSelectionAllowed="1" dragToData="1">
      <members count="1" level="1">
        <member name="[Table2].[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ercentage of income"/>
    <pivotHierarchy dragToData="1"/>
    <pivotHierarchy dragToData="1"/>
    <pivotHierarchy dragToData="1"/>
    <pivotHierarchy dragToData="1"/>
    <pivotHierarchy dragToData="1"/>
    <pivotHierarchy dragToData="1"/>
  </pivotHierarchies>
  <pivotTableStyleInfo name="PivotStyleDark12"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Income_Data (version 2).xlsb!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7">
  <location ref="V4:X16" firstHeaderRow="0" firstDataRow="1" firstDataCol="1"/>
  <pivotFields count="4">
    <pivotField dataField="1" subtotalTop="0" showAll="0" defaultSubtotal="0"/>
    <pivotField allDrilled="1" subtotalTop="0" showAll="0" dataSourceSort="1" defaultSubtotal="0" defaultAttributeDrillState="1"/>
    <pivotField axis="axisRow" allDrilled="1" subtotalTop="0" showAll="0" sortType="ascending" defaultSubtotal="0" defaultAttributeDrillState="1">
      <items count="12">
        <item x="4"/>
        <item x="3"/>
        <item x="7"/>
        <item x="0"/>
        <item x="8"/>
        <item x="6"/>
        <item x="5"/>
        <item x="1"/>
        <item x="11"/>
        <item x="10"/>
        <item x="9"/>
        <item x="2"/>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Income" fld="0" baseField="0" baseItem="0" numFmtId="3"/>
    <dataField name="Sum of Income2" fld="3" baseField="0" baseItem="0">
      <extLst>
        <ext xmlns:x14="http://schemas.microsoft.com/office/spreadsheetml/2009/9/main" uri="{E15A36E0-9728-4e99-A89B-3F7291B0FE68}">
          <x14:dataField sourceField="0" uniqueName="[__Xl2].[Measures].[Sum of Income]"/>
        </ext>
      </extLst>
    </dataField>
  </dataFields>
  <formats count="1">
    <format dxfId="16">
      <pivotArea outline="0" collapsedLevelsAreSubtotals="1" fieldPosition="0">
        <references count="1">
          <reference field="4294967294" count="1" selected="0">
            <x v="0"/>
          </reference>
        </references>
      </pivotArea>
    </format>
  </format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4">
    <pivotHierarchy multipleItemSelectionAllowed="1" dragToData="1">
      <members count="1" level="1">
        <member name="[Table2].[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ercentage of incom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Dark12"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Income_Data (version 2).xlsb!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Table2].[Year]">
  <pivotTables>
    <pivotTable tabId="6" name="PivotTable1"/>
    <pivotTable tabId="6" name="PivotTable4"/>
    <pivotTable tabId="6" name="PivotTable5"/>
    <pivotTable tabId="6" name="PivotTable3"/>
    <pivotTable tabId="6" name="PivotTable2"/>
    <pivotTable tabId="6" name="PivotTable6"/>
  </pivotTables>
  <data>
    <olap pivotCacheId="2041566112">
      <levels count="2">
        <level uniqueName="[Table2].[Year].[(All)]" sourceCaption="(All)" count="0"/>
        <level uniqueName="[Table2].[Year].[Year]" sourceCaption="Year" count="6">
          <ranges>
            <range startItem="0">
              <i n="[Table2].[Year].&amp;[2020]" c="2020"/>
              <i n="[Table2].[Year].&amp;[2021]" c="2021"/>
              <i n="[Table2].[Year].&amp;[2022]" c="2022"/>
              <i n="[Table2].[Year].&amp;[2023]" c="2023"/>
              <i n="[Table2].[Year].&amp;[2024]" c="2024"/>
              <i n="[Table2].[Year].&amp;[2025]" c="2025"/>
            </range>
          </ranges>
        </level>
      </levels>
      <selections count="1">
        <selection n="[Table2].[Year].&amp;[202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come_sources" sourceName="[Table2].[Income sources]">
  <pivotTables>
    <pivotTable tabId="6" name="PivotTable10"/>
  </pivotTables>
  <data>
    <olap pivotCacheId="1843846432">
      <levels count="2">
        <level uniqueName="[Table2].[Income sources].[(All)]" sourceCaption="(All)" count="0"/>
        <level uniqueName="[Table2].[Income sources].[Income sources]" sourceCaption="Income sources" count="6">
          <ranges>
            <range startItem="0">
              <i n="[Table2].[Income sources].&amp;[Advertising]" c="Advertising"/>
              <i n="[Table2].[Income sources].&amp;[Asset sale]" c="Asset sale"/>
              <i n="[Table2].[Income sources].&amp;[Licensing]" c="Licensing"/>
              <i n="[Table2].[Income sources].&amp;[Renting]" c="Renting"/>
              <i n="[Table2].[Income sources].&amp;[Subscription]" c="Subscription"/>
              <i n="[Table2].[Income sources].&amp;[Usage fees]" c="Usage fees"/>
            </range>
          </ranges>
        </level>
      </levels>
      <selections count="1">
        <selection n="[Table2].[Income sources].&amp;[Renting]"/>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ncome sources 1" cache="Slicer_Income_sources" caption="Income sources"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cache="Slicer_Year" caption="Year" columnCount="6" showCaption="0" level="1" style="Slicer Style 1" rowHeight="241300"/>
  <slicer name="Income sources" cache="Slicer_Income_sources" caption="Income sources" showCaption="0" level="1" style="Slicer Style 1" rowHeight="274320"/>
</slicers>
</file>

<file path=xl/tables/table1.xml><?xml version="1.0" encoding="utf-8"?>
<table xmlns="http://schemas.openxmlformats.org/spreadsheetml/2006/main" id="1" name="Table2" displayName="Table2" ref="A1:J901" totalsRowShown="0" headerRowDxfId="17">
  <autoFilter ref="A1:J901"/>
  <sortState ref="A2:J901">
    <sortCondition ref="J1:J901"/>
  </sortState>
  <tableColumns count="10">
    <tableColumn id="1" name="Year"/>
    <tableColumn id="2" name="Month"/>
    <tableColumn id="3" name="Income sources"/>
    <tableColumn id="4" name="Income Breakdowns"/>
    <tableColumn id="5" name="Counts"/>
    <tableColumn id="6" name="Income"/>
    <tableColumn id="7" name="Target Income"/>
    <tableColumn id="8" name="Operating profit"/>
    <tableColumn id="9" name="Marketing Strategies"/>
    <tableColumn id="10" name="date">
      <calculatedColumnFormula>DATE(Table2[[#This Row],[Year]],MONTH(1 &amp; Table2[[#This Row],[Month]]),RANDBETWEEN(1,30))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ustom 4">
      <a:majorFont>
        <a:latin typeface="Avenir"/>
        <a:ea typeface=""/>
        <a:cs typeface=""/>
      </a:majorFont>
      <a:minorFont>
        <a:latin typeface="Avenir "/>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01"/>
  <sheetViews>
    <sheetView workbookViewId="0">
      <selection activeCell="J10" sqref="J10"/>
    </sheetView>
  </sheetViews>
  <sheetFormatPr defaultRowHeight="14.25"/>
  <cols>
    <col min="1" max="1" width="6.25" customWidth="1"/>
    <col min="2" max="2" width="8" customWidth="1"/>
    <col min="3" max="3" width="15.875" customWidth="1"/>
    <col min="4" max="4" width="25.875" customWidth="1"/>
    <col min="5" max="5" width="8.125" customWidth="1"/>
    <col min="6" max="6" width="14.625" customWidth="1"/>
    <col min="7" max="7" width="14.875" customWidth="1"/>
    <col min="8" max="8" width="17.875" customWidth="1"/>
    <col min="9" max="9" width="21.875" customWidth="1"/>
    <col min="10" max="10" width="25.375" style="2" customWidth="1"/>
  </cols>
  <sheetData>
    <row r="1" spans="1:16" ht="15">
      <c r="A1" s="1" t="s">
        <v>0</v>
      </c>
      <c r="B1" s="1" t="s">
        <v>1</v>
      </c>
      <c r="C1" s="1" t="s">
        <v>2</v>
      </c>
      <c r="D1" s="1" t="s">
        <v>3</v>
      </c>
      <c r="E1" s="1" t="s">
        <v>4</v>
      </c>
      <c r="F1" s="1" t="s">
        <v>5</v>
      </c>
      <c r="G1" s="1" t="s">
        <v>6</v>
      </c>
      <c r="H1" s="1" t="s">
        <v>7</v>
      </c>
      <c r="I1" s="1" t="s">
        <v>8</v>
      </c>
      <c r="J1" s="22" t="s">
        <v>85</v>
      </c>
      <c r="L1" s="3" t="s">
        <v>0</v>
      </c>
      <c r="M1" s="3" t="s">
        <v>44</v>
      </c>
      <c r="N1" s="3" t="s">
        <v>45</v>
      </c>
      <c r="O1" s="3" t="s">
        <v>46</v>
      </c>
      <c r="P1" s="3" t="s">
        <v>47</v>
      </c>
    </row>
    <row r="2" spans="1:16">
      <c r="A2">
        <v>2020</v>
      </c>
      <c r="B2" t="s">
        <v>9</v>
      </c>
      <c r="C2" t="s">
        <v>23</v>
      </c>
      <c r="D2" t="s">
        <v>30</v>
      </c>
      <c r="E2">
        <v>2051</v>
      </c>
      <c r="F2">
        <v>9126</v>
      </c>
      <c r="G2">
        <v>11327</v>
      </c>
      <c r="H2">
        <v>427</v>
      </c>
      <c r="I2" t="s">
        <v>18</v>
      </c>
      <c r="J2" s="21">
        <f ca="1">DATE(Table2[[#This Row],[Year]],MONTH(1 &amp; Table2[[#This Row],[Month]]),RANDBETWEEN(1,30))</f>
        <v>43842</v>
      </c>
      <c r="L2" s="2">
        <v>2022</v>
      </c>
      <c r="M2" s="2" t="s">
        <v>48</v>
      </c>
      <c r="N2" s="2">
        <v>132246</v>
      </c>
      <c r="O2" s="2">
        <v>352245</v>
      </c>
      <c r="P2" s="2" t="s">
        <v>49</v>
      </c>
    </row>
    <row r="3" spans="1:16">
      <c r="A3">
        <v>2020</v>
      </c>
      <c r="B3" t="s">
        <v>9</v>
      </c>
      <c r="C3" t="s">
        <v>15</v>
      </c>
      <c r="D3" t="s">
        <v>42</v>
      </c>
      <c r="E3">
        <v>3780</v>
      </c>
      <c r="F3">
        <v>2836</v>
      </c>
      <c r="G3">
        <v>4595</v>
      </c>
      <c r="H3">
        <v>856</v>
      </c>
      <c r="I3" t="s">
        <v>12</v>
      </c>
      <c r="J3" s="21">
        <f ca="1">DATE(Table2[[#This Row],[Year]],MONTH(1 &amp; Table2[[#This Row],[Month]]),RANDBETWEEN(1,30))</f>
        <v>43847</v>
      </c>
      <c r="L3" s="2">
        <v>2025</v>
      </c>
      <c r="M3" s="2" t="s">
        <v>48</v>
      </c>
      <c r="N3" s="2">
        <v>475827</v>
      </c>
      <c r="O3" s="2">
        <v>691473</v>
      </c>
      <c r="P3" s="2" t="s">
        <v>50</v>
      </c>
    </row>
    <row r="4" spans="1:16">
      <c r="A4">
        <v>2020</v>
      </c>
      <c r="B4" t="s">
        <v>9</v>
      </c>
      <c r="C4" t="s">
        <v>10</v>
      </c>
      <c r="D4" t="s">
        <v>17</v>
      </c>
      <c r="E4">
        <v>2368</v>
      </c>
      <c r="F4">
        <v>3659</v>
      </c>
      <c r="G4">
        <v>8465</v>
      </c>
      <c r="H4">
        <v>1759</v>
      </c>
      <c r="I4" t="s">
        <v>18</v>
      </c>
      <c r="J4" s="21">
        <f ca="1">DATE(Table2[[#This Row],[Year]],MONTH(1 &amp; Table2[[#This Row],[Month]]),RANDBETWEEN(1,30))</f>
        <v>43845</v>
      </c>
      <c r="L4" s="2">
        <v>2020</v>
      </c>
      <c r="M4" s="2" t="s">
        <v>51</v>
      </c>
      <c r="N4" s="2">
        <v>402053</v>
      </c>
      <c r="O4" s="2">
        <v>521389</v>
      </c>
      <c r="P4" s="2" t="s">
        <v>50</v>
      </c>
    </row>
    <row r="5" spans="1:16">
      <c r="A5">
        <v>2020</v>
      </c>
      <c r="B5" t="s">
        <v>9</v>
      </c>
      <c r="C5" t="s">
        <v>15</v>
      </c>
      <c r="D5" t="s">
        <v>17</v>
      </c>
      <c r="E5">
        <v>2984</v>
      </c>
      <c r="F5">
        <v>5280</v>
      </c>
      <c r="G5">
        <v>3909</v>
      </c>
      <c r="H5">
        <v>2478</v>
      </c>
      <c r="I5" t="s">
        <v>12</v>
      </c>
      <c r="J5" s="21">
        <f ca="1">DATE(Table2[[#This Row],[Year]],MONTH(1 &amp; Table2[[#This Row],[Month]]),RANDBETWEEN(1,30))</f>
        <v>43837</v>
      </c>
      <c r="L5" s="2">
        <v>2022</v>
      </c>
      <c r="M5" s="2" t="s">
        <v>52</v>
      </c>
      <c r="N5" s="2">
        <v>334650</v>
      </c>
      <c r="O5" s="2">
        <v>558838</v>
      </c>
      <c r="P5" s="2" t="s">
        <v>50</v>
      </c>
    </row>
    <row r="6" spans="1:16">
      <c r="A6">
        <v>2020</v>
      </c>
      <c r="B6" t="s">
        <v>9</v>
      </c>
      <c r="C6" t="s">
        <v>29</v>
      </c>
      <c r="D6" t="s">
        <v>22</v>
      </c>
      <c r="E6">
        <v>2409</v>
      </c>
      <c r="F6">
        <v>5567</v>
      </c>
      <c r="G6">
        <v>3604</v>
      </c>
      <c r="H6">
        <v>1779</v>
      </c>
      <c r="I6" t="s">
        <v>28</v>
      </c>
      <c r="J6" s="21">
        <f ca="1">DATE(Table2[[#This Row],[Year]],MONTH(1 &amp; Table2[[#This Row],[Month]]),RANDBETWEEN(1,30))</f>
        <v>43850</v>
      </c>
      <c r="L6" s="2">
        <v>2022</v>
      </c>
      <c r="M6" s="2" t="s">
        <v>51</v>
      </c>
      <c r="N6" s="2">
        <v>431375</v>
      </c>
      <c r="O6" s="2">
        <v>688309</v>
      </c>
      <c r="P6" s="2" t="s">
        <v>53</v>
      </c>
    </row>
    <row r="7" spans="1:16">
      <c r="A7">
        <v>2020</v>
      </c>
      <c r="B7" t="s">
        <v>9</v>
      </c>
      <c r="C7" t="s">
        <v>15</v>
      </c>
      <c r="D7" t="s">
        <v>43</v>
      </c>
      <c r="E7">
        <v>3269</v>
      </c>
      <c r="F7">
        <v>9012</v>
      </c>
      <c r="G7">
        <v>4763</v>
      </c>
      <c r="H7">
        <v>1730</v>
      </c>
      <c r="I7" t="s">
        <v>18</v>
      </c>
      <c r="J7" s="21">
        <f ca="1">DATE(Table2[[#This Row],[Year]],MONTH(1 &amp; Table2[[#This Row],[Month]]),RANDBETWEEN(1,30))</f>
        <v>43831</v>
      </c>
      <c r="L7" s="2">
        <v>2022</v>
      </c>
      <c r="M7" s="2" t="s">
        <v>54</v>
      </c>
      <c r="N7" s="2">
        <v>132075</v>
      </c>
      <c r="O7" s="2">
        <v>388601</v>
      </c>
      <c r="P7" s="2" t="s">
        <v>53</v>
      </c>
    </row>
    <row r="8" spans="1:16">
      <c r="A8">
        <v>2020</v>
      </c>
      <c r="B8" t="s">
        <v>9</v>
      </c>
      <c r="C8" t="s">
        <v>23</v>
      </c>
      <c r="D8" t="s">
        <v>17</v>
      </c>
      <c r="E8">
        <v>876</v>
      </c>
      <c r="F8">
        <v>2863</v>
      </c>
      <c r="G8">
        <v>11528</v>
      </c>
      <c r="H8">
        <v>1540</v>
      </c>
      <c r="I8" t="s">
        <v>12</v>
      </c>
      <c r="J8" s="21">
        <f ca="1">DATE(Table2[[#This Row],[Year]],MONTH(1 &amp; Table2[[#This Row],[Month]]),RANDBETWEEN(1,30))</f>
        <v>43835</v>
      </c>
      <c r="L8" s="2">
        <v>2021</v>
      </c>
      <c r="M8" s="2" t="s">
        <v>55</v>
      </c>
      <c r="N8" s="2">
        <v>290736</v>
      </c>
      <c r="O8" s="2">
        <v>600920</v>
      </c>
      <c r="P8" s="2" t="s">
        <v>50</v>
      </c>
    </row>
    <row r="9" spans="1:16">
      <c r="A9">
        <v>2020</v>
      </c>
      <c r="B9" t="s">
        <v>9</v>
      </c>
      <c r="C9" t="s">
        <v>15</v>
      </c>
      <c r="D9" t="s">
        <v>30</v>
      </c>
      <c r="E9">
        <v>3470</v>
      </c>
      <c r="F9">
        <v>7637</v>
      </c>
      <c r="G9">
        <v>7951</v>
      </c>
      <c r="H9">
        <v>691</v>
      </c>
      <c r="I9" t="s">
        <v>28</v>
      </c>
      <c r="J9" s="21">
        <f ca="1">DATE(Table2[[#This Row],[Year]],MONTH(1 &amp; Table2[[#This Row],[Month]]),RANDBETWEEN(1,30))</f>
        <v>43843</v>
      </c>
      <c r="L9" s="2">
        <v>2021</v>
      </c>
      <c r="M9" s="2" t="s">
        <v>56</v>
      </c>
      <c r="N9" s="2">
        <v>352037</v>
      </c>
      <c r="O9" s="2">
        <v>417265</v>
      </c>
      <c r="P9" s="2" t="s">
        <v>50</v>
      </c>
    </row>
    <row r="10" spans="1:16">
      <c r="A10">
        <v>2020</v>
      </c>
      <c r="B10" t="s">
        <v>9</v>
      </c>
      <c r="C10" t="s">
        <v>10</v>
      </c>
      <c r="D10" t="s">
        <v>16</v>
      </c>
      <c r="E10">
        <v>1809</v>
      </c>
      <c r="F10">
        <v>5484</v>
      </c>
      <c r="G10">
        <v>9610</v>
      </c>
      <c r="H10">
        <v>2311</v>
      </c>
      <c r="I10" t="s">
        <v>18</v>
      </c>
      <c r="J10" s="21">
        <f ca="1">DATE(Table2[[#This Row],[Year]],MONTH(1 &amp; Table2[[#This Row],[Month]]),RANDBETWEEN(1,30))</f>
        <v>43838</v>
      </c>
      <c r="L10" s="2">
        <v>2022</v>
      </c>
      <c r="M10" s="2" t="s">
        <v>57</v>
      </c>
      <c r="N10" s="2">
        <v>431461</v>
      </c>
      <c r="O10" s="2">
        <v>634767</v>
      </c>
      <c r="P10" s="2" t="s">
        <v>49</v>
      </c>
    </row>
    <row r="11" spans="1:16">
      <c r="A11">
        <v>2020</v>
      </c>
      <c r="B11" t="s">
        <v>9</v>
      </c>
      <c r="C11" t="s">
        <v>23</v>
      </c>
      <c r="D11" t="s">
        <v>23</v>
      </c>
      <c r="E11">
        <v>2405</v>
      </c>
      <c r="F11">
        <v>5252</v>
      </c>
      <c r="G11">
        <v>5098</v>
      </c>
      <c r="H11">
        <v>1951</v>
      </c>
      <c r="I11" t="s">
        <v>18</v>
      </c>
      <c r="J11" s="21">
        <f ca="1">DATE(Table2[[#This Row],[Year]],MONTH(1 &amp; Table2[[#This Row],[Month]]),RANDBETWEEN(1,30))</f>
        <v>43839</v>
      </c>
      <c r="L11" s="2">
        <v>2020</v>
      </c>
      <c r="M11" s="2" t="s">
        <v>58</v>
      </c>
      <c r="N11" s="2">
        <v>413388</v>
      </c>
      <c r="O11" s="2">
        <v>290329</v>
      </c>
      <c r="P11" s="2" t="s">
        <v>59</v>
      </c>
    </row>
    <row r="12" spans="1:16">
      <c r="A12">
        <v>2020</v>
      </c>
      <c r="B12" t="s">
        <v>19</v>
      </c>
      <c r="C12" t="s">
        <v>23</v>
      </c>
      <c r="D12" t="s">
        <v>23</v>
      </c>
      <c r="E12">
        <v>763</v>
      </c>
      <c r="F12">
        <v>6727</v>
      </c>
      <c r="G12">
        <v>11812</v>
      </c>
      <c r="H12">
        <v>2364</v>
      </c>
      <c r="I12" t="s">
        <v>18</v>
      </c>
      <c r="J12" s="21">
        <f ca="1">DATE(Table2[[#This Row],[Year]],MONTH(1 &amp; Table2[[#This Row],[Month]]),RANDBETWEEN(1,30))</f>
        <v>43869</v>
      </c>
      <c r="L12" s="2">
        <v>2020</v>
      </c>
      <c r="M12" s="2" t="s">
        <v>48</v>
      </c>
      <c r="N12" s="2">
        <v>210828</v>
      </c>
      <c r="O12" s="2">
        <v>673843</v>
      </c>
      <c r="P12" s="2" t="s">
        <v>50</v>
      </c>
    </row>
    <row r="13" spans="1:16">
      <c r="A13">
        <v>2020</v>
      </c>
      <c r="B13" t="s">
        <v>19</v>
      </c>
      <c r="C13" t="s">
        <v>23</v>
      </c>
      <c r="D13" t="s">
        <v>30</v>
      </c>
      <c r="E13">
        <v>2148</v>
      </c>
      <c r="F13">
        <v>3028</v>
      </c>
      <c r="G13">
        <v>11522</v>
      </c>
      <c r="H13">
        <v>2814</v>
      </c>
      <c r="I13" t="s">
        <v>28</v>
      </c>
      <c r="J13" s="21">
        <f ca="1">DATE(Table2[[#This Row],[Year]],MONTH(1 &amp; Table2[[#This Row],[Month]]),RANDBETWEEN(1,30))</f>
        <v>43878</v>
      </c>
      <c r="L13" s="2">
        <v>2023</v>
      </c>
      <c r="M13" s="2" t="s">
        <v>48</v>
      </c>
      <c r="N13" s="2">
        <v>476352</v>
      </c>
      <c r="O13" s="2">
        <v>309386</v>
      </c>
      <c r="P13" s="2" t="s">
        <v>59</v>
      </c>
    </row>
    <row r="14" spans="1:16">
      <c r="A14">
        <v>2020</v>
      </c>
      <c r="B14" t="s">
        <v>19</v>
      </c>
      <c r="C14" t="s">
        <v>15</v>
      </c>
      <c r="D14" t="s">
        <v>30</v>
      </c>
      <c r="E14">
        <v>3323</v>
      </c>
      <c r="F14">
        <v>5920</v>
      </c>
      <c r="G14">
        <v>2083</v>
      </c>
      <c r="H14">
        <v>1684</v>
      </c>
      <c r="I14" t="s">
        <v>18</v>
      </c>
      <c r="J14" s="21">
        <f ca="1">DATE(Table2[[#This Row],[Year]],MONTH(1 &amp; Table2[[#This Row],[Month]]),RANDBETWEEN(1,30))</f>
        <v>43867</v>
      </c>
      <c r="L14" s="2">
        <v>2021</v>
      </c>
      <c r="M14" s="2" t="s">
        <v>55</v>
      </c>
      <c r="N14" s="2">
        <v>149738</v>
      </c>
      <c r="O14" s="2">
        <v>363110</v>
      </c>
      <c r="P14" s="2" t="s">
        <v>53</v>
      </c>
    </row>
    <row r="15" spans="1:16">
      <c r="A15">
        <v>2020</v>
      </c>
      <c r="B15" t="s">
        <v>19</v>
      </c>
      <c r="C15" t="s">
        <v>15</v>
      </c>
      <c r="D15" t="s">
        <v>35</v>
      </c>
      <c r="E15">
        <v>2578</v>
      </c>
      <c r="F15">
        <v>4892</v>
      </c>
      <c r="G15">
        <v>2543</v>
      </c>
      <c r="H15">
        <v>2447</v>
      </c>
      <c r="I15" t="s">
        <v>28</v>
      </c>
      <c r="J15" s="21">
        <f ca="1">DATE(Table2[[#This Row],[Year]],MONTH(1 &amp; Table2[[#This Row],[Month]]),RANDBETWEEN(1,30))</f>
        <v>43863</v>
      </c>
      <c r="L15" s="2">
        <v>2023</v>
      </c>
      <c r="M15" s="2" t="s">
        <v>52</v>
      </c>
      <c r="N15" s="2">
        <v>450053</v>
      </c>
      <c r="O15" s="2">
        <v>578096</v>
      </c>
      <c r="P15" s="2" t="s">
        <v>53</v>
      </c>
    </row>
    <row r="16" spans="1:16">
      <c r="A16">
        <v>2020</v>
      </c>
      <c r="B16" t="s">
        <v>19</v>
      </c>
      <c r="C16" t="s">
        <v>29</v>
      </c>
      <c r="D16" t="s">
        <v>38</v>
      </c>
      <c r="E16">
        <v>821</v>
      </c>
      <c r="F16">
        <v>1162</v>
      </c>
      <c r="G16">
        <v>9141</v>
      </c>
      <c r="H16">
        <v>2152</v>
      </c>
      <c r="I16" t="s">
        <v>12</v>
      </c>
      <c r="J16" s="21">
        <f ca="1">DATE(Table2[[#This Row],[Year]],MONTH(1 &amp; Table2[[#This Row],[Month]]),RANDBETWEEN(1,30))</f>
        <v>43868</v>
      </c>
      <c r="L16" s="2">
        <v>2020</v>
      </c>
      <c r="M16" s="2" t="s">
        <v>54</v>
      </c>
      <c r="N16" s="2">
        <v>488376</v>
      </c>
      <c r="O16" s="2">
        <v>396878</v>
      </c>
      <c r="P16" s="2" t="s">
        <v>50</v>
      </c>
    </row>
    <row r="17" spans="1:16">
      <c r="A17">
        <v>2020</v>
      </c>
      <c r="B17" t="s">
        <v>19</v>
      </c>
      <c r="C17" t="s">
        <v>29</v>
      </c>
      <c r="D17" t="s">
        <v>20</v>
      </c>
      <c r="E17">
        <v>2252</v>
      </c>
      <c r="F17">
        <v>1598</v>
      </c>
      <c r="G17">
        <v>4063</v>
      </c>
      <c r="H17">
        <v>2583</v>
      </c>
      <c r="I17" t="s">
        <v>12</v>
      </c>
      <c r="J17" s="21">
        <f ca="1">DATE(Table2[[#This Row],[Year]],MONTH(1 &amp; Table2[[#This Row],[Month]]),RANDBETWEEN(1,30))</f>
        <v>43875</v>
      </c>
      <c r="L17" s="2">
        <v>2020</v>
      </c>
      <c r="M17" s="2" t="s">
        <v>56</v>
      </c>
      <c r="N17" s="2">
        <v>170861</v>
      </c>
      <c r="O17" s="2">
        <v>504106</v>
      </c>
      <c r="P17" s="2" t="s">
        <v>50</v>
      </c>
    </row>
    <row r="18" spans="1:16">
      <c r="A18">
        <v>2020</v>
      </c>
      <c r="B18" t="s">
        <v>19</v>
      </c>
      <c r="C18" t="s">
        <v>23</v>
      </c>
      <c r="D18" t="s">
        <v>38</v>
      </c>
      <c r="E18">
        <v>80</v>
      </c>
      <c r="F18">
        <v>5649</v>
      </c>
      <c r="G18">
        <v>5267</v>
      </c>
      <c r="H18">
        <v>2801</v>
      </c>
      <c r="I18" t="s">
        <v>12</v>
      </c>
      <c r="J18" s="21">
        <f ca="1">DATE(Table2[[#This Row],[Year]],MONTH(1 &amp; Table2[[#This Row],[Month]]),RANDBETWEEN(1,30))</f>
        <v>43878</v>
      </c>
      <c r="L18" s="2">
        <v>2021</v>
      </c>
      <c r="M18" s="2" t="s">
        <v>55</v>
      </c>
      <c r="N18" s="2">
        <v>388826</v>
      </c>
      <c r="O18" s="2">
        <v>422287</v>
      </c>
      <c r="P18" s="2" t="s">
        <v>59</v>
      </c>
    </row>
    <row r="19" spans="1:16">
      <c r="A19">
        <v>2020</v>
      </c>
      <c r="B19" t="s">
        <v>19</v>
      </c>
      <c r="C19" t="s">
        <v>29</v>
      </c>
      <c r="D19" t="s">
        <v>17</v>
      </c>
      <c r="E19">
        <v>993</v>
      </c>
      <c r="F19">
        <v>4044</v>
      </c>
      <c r="G19">
        <v>7445</v>
      </c>
      <c r="H19">
        <v>312</v>
      </c>
      <c r="I19" t="s">
        <v>18</v>
      </c>
      <c r="J19" s="21">
        <f ca="1">DATE(Table2[[#This Row],[Year]],MONTH(1 &amp; Table2[[#This Row],[Month]]),RANDBETWEEN(1,30))</f>
        <v>43887</v>
      </c>
      <c r="L19" s="2">
        <v>2024</v>
      </c>
      <c r="M19" s="2" t="s">
        <v>58</v>
      </c>
      <c r="N19" s="2">
        <v>116114</v>
      </c>
      <c r="O19" s="2">
        <v>571185</v>
      </c>
      <c r="P19" s="2" t="s">
        <v>59</v>
      </c>
    </row>
    <row r="20" spans="1:16">
      <c r="A20">
        <v>2020</v>
      </c>
      <c r="B20" t="s">
        <v>19</v>
      </c>
      <c r="C20" t="s">
        <v>15</v>
      </c>
      <c r="D20" t="s">
        <v>30</v>
      </c>
      <c r="E20">
        <v>1324</v>
      </c>
      <c r="F20">
        <v>4383</v>
      </c>
      <c r="G20">
        <v>9386</v>
      </c>
      <c r="H20">
        <v>2376</v>
      </c>
      <c r="I20" t="s">
        <v>12</v>
      </c>
      <c r="J20" s="21">
        <f ca="1">DATE(Table2[[#This Row],[Year]],MONTH(1 &amp; Table2[[#This Row],[Month]]),RANDBETWEEN(1,30))</f>
        <v>43888</v>
      </c>
      <c r="L20" s="2">
        <v>2025</v>
      </c>
      <c r="M20" s="2" t="s">
        <v>55</v>
      </c>
      <c r="N20" s="2">
        <v>262169</v>
      </c>
      <c r="O20" s="2">
        <v>314166</v>
      </c>
      <c r="P20" s="2" t="s">
        <v>53</v>
      </c>
    </row>
    <row r="21" spans="1:16">
      <c r="A21">
        <v>2020</v>
      </c>
      <c r="B21" t="s">
        <v>19</v>
      </c>
      <c r="C21" t="s">
        <v>29</v>
      </c>
      <c r="D21" t="s">
        <v>16</v>
      </c>
      <c r="E21">
        <v>3994</v>
      </c>
      <c r="F21">
        <v>7923</v>
      </c>
      <c r="G21">
        <v>11742</v>
      </c>
      <c r="H21">
        <v>2566</v>
      </c>
      <c r="I21" t="s">
        <v>18</v>
      </c>
      <c r="J21" s="21">
        <f ca="1">DATE(Table2[[#This Row],[Year]],MONTH(1 &amp; Table2[[#This Row],[Month]]),RANDBETWEEN(1,30))</f>
        <v>43875</v>
      </c>
      <c r="L21" s="2">
        <v>2022</v>
      </c>
      <c r="M21" s="2" t="s">
        <v>54</v>
      </c>
      <c r="N21" s="2">
        <v>306513</v>
      </c>
      <c r="O21" s="2">
        <v>229229</v>
      </c>
      <c r="P21" s="2" t="s">
        <v>49</v>
      </c>
    </row>
    <row r="22" spans="1:16">
      <c r="A22">
        <v>2020</v>
      </c>
      <c r="B22" t="s">
        <v>19</v>
      </c>
      <c r="C22" t="s">
        <v>15</v>
      </c>
      <c r="D22" t="s">
        <v>17</v>
      </c>
      <c r="E22">
        <v>1417</v>
      </c>
      <c r="F22">
        <v>1245</v>
      </c>
      <c r="G22">
        <v>6377</v>
      </c>
      <c r="H22">
        <v>1607</v>
      </c>
      <c r="I22" t="s">
        <v>18</v>
      </c>
      <c r="J22" s="21">
        <f ca="1">DATE(Table2[[#This Row],[Year]],MONTH(1 &amp; Table2[[#This Row],[Month]]),RANDBETWEEN(1,30))</f>
        <v>43883</v>
      </c>
      <c r="L22" s="2">
        <v>2024</v>
      </c>
      <c r="M22" s="2" t="s">
        <v>55</v>
      </c>
      <c r="N22" s="2">
        <v>332258</v>
      </c>
      <c r="O22" s="2">
        <v>349965</v>
      </c>
      <c r="P22" s="2" t="s">
        <v>53</v>
      </c>
    </row>
    <row r="23" spans="1:16">
      <c r="A23">
        <v>2020</v>
      </c>
      <c r="B23" t="s">
        <v>19</v>
      </c>
      <c r="C23" t="s">
        <v>15</v>
      </c>
      <c r="D23" t="s">
        <v>35</v>
      </c>
      <c r="E23">
        <v>763</v>
      </c>
      <c r="F23">
        <v>5575</v>
      </c>
      <c r="G23">
        <v>3657</v>
      </c>
      <c r="H23">
        <v>1263</v>
      </c>
      <c r="I23" t="s">
        <v>18</v>
      </c>
      <c r="J23" s="21">
        <f ca="1">DATE(Table2[[#This Row],[Year]],MONTH(1 &amp; Table2[[#This Row],[Month]]),RANDBETWEEN(1,30))</f>
        <v>43889</v>
      </c>
      <c r="L23" s="2">
        <v>2023</v>
      </c>
      <c r="M23" s="2" t="s">
        <v>56</v>
      </c>
      <c r="N23" s="2">
        <v>474375</v>
      </c>
      <c r="O23" s="2">
        <v>437154</v>
      </c>
      <c r="P23" s="2" t="s">
        <v>49</v>
      </c>
    </row>
    <row r="24" spans="1:16">
      <c r="A24">
        <v>2020</v>
      </c>
      <c r="B24" t="s">
        <v>19</v>
      </c>
      <c r="C24" t="s">
        <v>21</v>
      </c>
      <c r="D24" t="s">
        <v>20</v>
      </c>
      <c r="E24">
        <v>2615</v>
      </c>
      <c r="F24">
        <v>9343</v>
      </c>
      <c r="G24">
        <v>9689</v>
      </c>
      <c r="H24">
        <v>2802</v>
      </c>
      <c r="I24" t="s">
        <v>28</v>
      </c>
      <c r="J24" s="21">
        <f ca="1">DATE(Table2[[#This Row],[Year]],MONTH(1 &amp; Table2[[#This Row],[Month]]),RANDBETWEEN(1,30))</f>
        <v>43883</v>
      </c>
      <c r="L24" s="2">
        <v>2020</v>
      </c>
      <c r="M24" s="2" t="s">
        <v>48</v>
      </c>
      <c r="N24" s="2">
        <v>368900</v>
      </c>
      <c r="O24" s="2">
        <v>284010</v>
      </c>
      <c r="P24" s="2" t="s">
        <v>50</v>
      </c>
    </row>
    <row r="25" spans="1:16">
      <c r="A25">
        <v>2020</v>
      </c>
      <c r="B25" t="s">
        <v>19</v>
      </c>
      <c r="C25" t="s">
        <v>10</v>
      </c>
      <c r="D25" t="s">
        <v>43</v>
      </c>
      <c r="E25">
        <v>1994</v>
      </c>
      <c r="F25">
        <v>1638</v>
      </c>
      <c r="G25">
        <v>8851</v>
      </c>
      <c r="H25">
        <v>834</v>
      </c>
      <c r="I25" t="s">
        <v>18</v>
      </c>
      <c r="J25" s="21">
        <f ca="1">DATE(Table2[[#This Row],[Year]],MONTH(1 &amp; Table2[[#This Row],[Month]]),RANDBETWEEN(1,30))</f>
        <v>43877</v>
      </c>
      <c r="L25" s="2">
        <v>2024</v>
      </c>
      <c r="M25" s="2" t="s">
        <v>52</v>
      </c>
      <c r="N25" s="2">
        <v>292511</v>
      </c>
      <c r="O25" s="2">
        <v>377399</v>
      </c>
      <c r="P25" s="2" t="s">
        <v>49</v>
      </c>
    </row>
    <row r="26" spans="1:16">
      <c r="A26">
        <v>2020</v>
      </c>
      <c r="B26" t="s">
        <v>19</v>
      </c>
      <c r="C26" t="s">
        <v>10</v>
      </c>
      <c r="D26" t="s">
        <v>20</v>
      </c>
      <c r="E26">
        <v>2230</v>
      </c>
      <c r="F26">
        <v>1625</v>
      </c>
      <c r="G26">
        <v>4005</v>
      </c>
      <c r="H26">
        <v>2295</v>
      </c>
      <c r="I26" t="s">
        <v>12</v>
      </c>
      <c r="J26" s="21">
        <f ca="1">DATE(Table2[[#This Row],[Year]],MONTH(1 &amp; Table2[[#This Row],[Month]]),RANDBETWEEN(1,30))</f>
        <v>43878</v>
      </c>
      <c r="L26" s="2">
        <v>2022</v>
      </c>
      <c r="M26" s="2" t="s">
        <v>52</v>
      </c>
      <c r="N26" s="2">
        <v>423870</v>
      </c>
      <c r="O26" s="2">
        <v>399992</v>
      </c>
      <c r="P26" s="2" t="s">
        <v>50</v>
      </c>
    </row>
    <row r="27" spans="1:16">
      <c r="A27">
        <v>2020</v>
      </c>
      <c r="B27" t="s">
        <v>19</v>
      </c>
      <c r="C27" t="s">
        <v>25</v>
      </c>
      <c r="D27" t="s">
        <v>17</v>
      </c>
      <c r="E27">
        <v>546</v>
      </c>
      <c r="F27">
        <v>7232</v>
      </c>
      <c r="G27">
        <v>9234</v>
      </c>
      <c r="H27">
        <v>1443</v>
      </c>
      <c r="I27" t="s">
        <v>12</v>
      </c>
      <c r="J27" s="21">
        <f ca="1">DATE(Table2[[#This Row],[Year]],MONTH(1 &amp; Table2[[#This Row],[Month]]),RANDBETWEEN(1,30))</f>
        <v>43875</v>
      </c>
      <c r="L27" s="2">
        <v>2025</v>
      </c>
      <c r="M27" s="2" t="s">
        <v>54</v>
      </c>
      <c r="N27" s="2">
        <v>480213</v>
      </c>
      <c r="O27" s="2">
        <v>228696</v>
      </c>
      <c r="P27" s="2" t="s">
        <v>53</v>
      </c>
    </row>
    <row r="28" spans="1:16">
      <c r="A28">
        <v>2020</v>
      </c>
      <c r="B28" t="s">
        <v>19</v>
      </c>
      <c r="C28" t="s">
        <v>25</v>
      </c>
      <c r="D28" t="s">
        <v>38</v>
      </c>
      <c r="E28">
        <v>2239</v>
      </c>
      <c r="F28">
        <v>5873</v>
      </c>
      <c r="G28">
        <v>7972</v>
      </c>
      <c r="H28">
        <v>2166</v>
      </c>
      <c r="I28" t="s">
        <v>28</v>
      </c>
      <c r="J28" s="21">
        <f ca="1">DATE(Table2[[#This Row],[Year]],MONTH(1 &amp; Table2[[#This Row],[Month]]),RANDBETWEEN(1,30))</f>
        <v>43863</v>
      </c>
      <c r="L28" s="2">
        <v>2024</v>
      </c>
      <c r="M28" s="2" t="s">
        <v>52</v>
      </c>
      <c r="N28" s="2">
        <v>108826</v>
      </c>
      <c r="O28" s="2">
        <v>491654</v>
      </c>
      <c r="P28" s="2" t="s">
        <v>50</v>
      </c>
    </row>
    <row r="29" spans="1:16">
      <c r="A29">
        <v>2020</v>
      </c>
      <c r="B29" t="s">
        <v>36</v>
      </c>
      <c r="C29" t="s">
        <v>23</v>
      </c>
      <c r="D29" t="s">
        <v>17</v>
      </c>
      <c r="E29">
        <v>367</v>
      </c>
      <c r="F29">
        <v>7857</v>
      </c>
      <c r="G29">
        <v>8324</v>
      </c>
      <c r="H29">
        <v>2318</v>
      </c>
      <c r="I29" t="s">
        <v>18</v>
      </c>
      <c r="J29" s="21">
        <f ca="1">DATE(Table2[[#This Row],[Year]],MONTH(1 &amp; Table2[[#This Row],[Month]]),RANDBETWEEN(1,30))</f>
        <v>43916</v>
      </c>
      <c r="L29" s="2">
        <v>2022</v>
      </c>
      <c r="M29" s="2" t="s">
        <v>60</v>
      </c>
      <c r="N29" s="2">
        <v>493009</v>
      </c>
      <c r="O29" s="2">
        <v>642172</v>
      </c>
      <c r="P29" s="2" t="s">
        <v>59</v>
      </c>
    </row>
    <row r="30" spans="1:16">
      <c r="A30">
        <v>2020</v>
      </c>
      <c r="B30" t="s">
        <v>36</v>
      </c>
      <c r="C30" t="s">
        <v>23</v>
      </c>
      <c r="D30" t="s">
        <v>26</v>
      </c>
      <c r="E30">
        <v>316</v>
      </c>
      <c r="F30">
        <v>2562</v>
      </c>
      <c r="G30">
        <v>5578</v>
      </c>
      <c r="H30">
        <v>1568</v>
      </c>
      <c r="I30" t="s">
        <v>28</v>
      </c>
      <c r="J30" s="21">
        <f ca="1">DATE(Table2[[#This Row],[Year]],MONTH(1 &amp; Table2[[#This Row],[Month]]),RANDBETWEEN(1,30))</f>
        <v>43920</v>
      </c>
      <c r="L30" s="2">
        <v>2024</v>
      </c>
      <c r="M30" s="2" t="s">
        <v>54</v>
      </c>
      <c r="N30" s="2">
        <v>134453</v>
      </c>
      <c r="O30" s="2">
        <v>275871</v>
      </c>
      <c r="P30" s="2" t="s">
        <v>50</v>
      </c>
    </row>
    <row r="31" spans="1:16">
      <c r="A31">
        <v>2020</v>
      </c>
      <c r="B31" t="s">
        <v>36</v>
      </c>
      <c r="C31" t="s">
        <v>29</v>
      </c>
      <c r="D31" t="s">
        <v>30</v>
      </c>
      <c r="E31">
        <v>2400</v>
      </c>
      <c r="F31">
        <v>4803</v>
      </c>
      <c r="G31">
        <v>11145</v>
      </c>
      <c r="H31">
        <v>2328</v>
      </c>
      <c r="I31" t="s">
        <v>28</v>
      </c>
      <c r="J31" s="21">
        <f ca="1">DATE(Table2[[#This Row],[Year]],MONTH(1 &amp; Table2[[#This Row],[Month]]),RANDBETWEEN(1,30))</f>
        <v>43916</v>
      </c>
      <c r="L31" s="2">
        <v>2022</v>
      </c>
      <c r="M31" s="2" t="s">
        <v>54</v>
      </c>
      <c r="N31" s="2">
        <v>425755</v>
      </c>
      <c r="O31" s="2">
        <v>498904</v>
      </c>
      <c r="P31" s="2" t="s">
        <v>59</v>
      </c>
    </row>
    <row r="32" spans="1:16">
      <c r="A32">
        <v>2020</v>
      </c>
      <c r="B32" t="s">
        <v>36</v>
      </c>
      <c r="C32" t="s">
        <v>23</v>
      </c>
      <c r="D32" t="s">
        <v>38</v>
      </c>
      <c r="E32">
        <v>1632</v>
      </c>
      <c r="F32">
        <v>8244</v>
      </c>
      <c r="G32">
        <v>4420</v>
      </c>
      <c r="H32">
        <v>1297</v>
      </c>
      <c r="I32" t="s">
        <v>18</v>
      </c>
      <c r="J32" s="21">
        <f ca="1">DATE(Table2[[#This Row],[Year]],MONTH(1 &amp; Table2[[#This Row],[Month]]),RANDBETWEEN(1,30))</f>
        <v>43894</v>
      </c>
      <c r="L32" s="2">
        <v>2024</v>
      </c>
      <c r="M32" s="2" t="s">
        <v>51</v>
      </c>
      <c r="N32" s="2">
        <v>212134</v>
      </c>
      <c r="O32" s="2">
        <v>532370</v>
      </c>
      <c r="P32" s="2" t="s">
        <v>53</v>
      </c>
    </row>
    <row r="33" spans="1:16">
      <c r="A33">
        <v>2020</v>
      </c>
      <c r="B33" t="s">
        <v>36</v>
      </c>
      <c r="C33" t="s">
        <v>10</v>
      </c>
      <c r="D33" t="s">
        <v>35</v>
      </c>
      <c r="E33">
        <v>2231</v>
      </c>
      <c r="F33">
        <v>6046</v>
      </c>
      <c r="G33">
        <v>3185</v>
      </c>
      <c r="H33">
        <v>1451</v>
      </c>
      <c r="I33" t="s">
        <v>12</v>
      </c>
      <c r="J33" s="21">
        <f ca="1">DATE(Table2[[#This Row],[Year]],MONTH(1 &amp; Table2[[#This Row],[Month]]),RANDBETWEEN(1,30))</f>
        <v>43916</v>
      </c>
      <c r="L33" s="2">
        <v>2020</v>
      </c>
      <c r="M33" s="2" t="s">
        <v>48</v>
      </c>
      <c r="N33" s="2">
        <v>152872</v>
      </c>
      <c r="O33" s="2">
        <v>409667</v>
      </c>
      <c r="P33" s="2" t="s">
        <v>59</v>
      </c>
    </row>
    <row r="34" spans="1:16">
      <c r="A34">
        <v>2020</v>
      </c>
      <c r="B34" t="s">
        <v>36</v>
      </c>
      <c r="C34" t="s">
        <v>29</v>
      </c>
      <c r="D34" t="s">
        <v>17</v>
      </c>
      <c r="E34">
        <v>93</v>
      </c>
      <c r="F34">
        <v>2368</v>
      </c>
      <c r="G34">
        <v>10393</v>
      </c>
      <c r="H34">
        <v>1139</v>
      </c>
      <c r="I34" t="s">
        <v>18</v>
      </c>
      <c r="J34" s="21">
        <f ca="1">DATE(Table2[[#This Row],[Year]],MONTH(1 &amp; Table2[[#This Row],[Month]]),RANDBETWEEN(1,30))</f>
        <v>43893</v>
      </c>
      <c r="L34" s="2">
        <v>2020</v>
      </c>
      <c r="M34" s="2" t="s">
        <v>56</v>
      </c>
      <c r="N34" s="2">
        <v>275942</v>
      </c>
      <c r="O34" s="2">
        <v>550549</v>
      </c>
      <c r="P34" s="2" t="s">
        <v>49</v>
      </c>
    </row>
    <row r="35" spans="1:16">
      <c r="A35">
        <v>2020</v>
      </c>
      <c r="B35" t="s">
        <v>36</v>
      </c>
      <c r="C35" t="s">
        <v>23</v>
      </c>
      <c r="D35" t="s">
        <v>20</v>
      </c>
      <c r="E35">
        <v>3367</v>
      </c>
      <c r="F35">
        <v>6728</v>
      </c>
      <c r="G35">
        <v>3053</v>
      </c>
      <c r="H35">
        <v>1028</v>
      </c>
      <c r="I35" t="s">
        <v>28</v>
      </c>
      <c r="J35" s="21">
        <f ca="1">DATE(Table2[[#This Row],[Year]],MONTH(1 &amp; Table2[[#This Row],[Month]]),RANDBETWEEN(1,30))</f>
        <v>43914</v>
      </c>
      <c r="L35" s="2">
        <v>2021</v>
      </c>
      <c r="M35" s="2" t="s">
        <v>54</v>
      </c>
      <c r="N35" s="2">
        <v>357583</v>
      </c>
      <c r="O35" s="2">
        <v>405366</v>
      </c>
      <c r="P35" s="2" t="s">
        <v>50</v>
      </c>
    </row>
    <row r="36" spans="1:16">
      <c r="A36">
        <v>2020</v>
      </c>
      <c r="B36" t="s">
        <v>36</v>
      </c>
      <c r="C36" t="s">
        <v>29</v>
      </c>
      <c r="D36" t="s">
        <v>34</v>
      </c>
      <c r="E36">
        <v>3552</v>
      </c>
      <c r="F36">
        <v>6198</v>
      </c>
      <c r="G36">
        <v>3573</v>
      </c>
      <c r="H36">
        <v>610</v>
      </c>
      <c r="I36" t="s">
        <v>12</v>
      </c>
      <c r="J36" s="21">
        <f ca="1">DATE(Table2[[#This Row],[Year]],MONTH(1 &amp; Table2[[#This Row],[Month]]),RANDBETWEEN(1,30))</f>
        <v>43910</v>
      </c>
      <c r="L36" s="2">
        <v>2022</v>
      </c>
      <c r="M36" s="2" t="s">
        <v>51</v>
      </c>
      <c r="N36" s="2">
        <v>252381</v>
      </c>
      <c r="O36" s="2">
        <v>452319</v>
      </c>
      <c r="P36" s="2" t="s">
        <v>59</v>
      </c>
    </row>
    <row r="37" spans="1:16">
      <c r="A37">
        <v>2020</v>
      </c>
      <c r="B37" t="s">
        <v>36</v>
      </c>
      <c r="C37" t="s">
        <v>23</v>
      </c>
      <c r="D37" t="s">
        <v>11</v>
      </c>
      <c r="E37">
        <v>3127</v>
      </c>
      <c r="F37">
        <v>4867</v>
      </c>
      <c r="G37">
        <v>4047</v>
      </c>
      <c r="H37">
        <v>1786</v>
      </c>
      <c r="I37" t="s">
        <v>28</v>
      </c>
      <c r="J37" s="21">
        <f ca="1">DATE(Table2[[#This Row],[Year]],MONTH(1 &amp; Table2[[#This Row],[Month]]),RANDBETWEEN(1,30))</f>
        <v>43914</v>
      </c>
      <c r="L37" s="2">
        <v>2023</v>
      </c>
      <c r="M37" s="2" t="s">
        <v>56</v>
      </c>
      <c r="N37" s="2">
        <v>121826</v>
      </c>
      <c r="O37" s="2">
        <v>203677</v>
      </c>
      <c r="P37" s="2" t="s">
        <v>59</v>
      </c>
    </row>
    <row r="38" spans="1:16">
      <c r="A38">
        <v>2020</v>
      </c>
      <c r="B38" t="s">
        <v>36</v>
      </c>
      <c r="C38" t="s">
        <v>29</v>
      </c>
      <c r="D38" t="s">
        <v>26</v>
      </c>
      <c r="E38">
        <v>856</v>
      </c>
      <c r="F38">
        <v>2578</v>
      </c>
      <c r="G38">
        <v>10044</v>
      </c>
      <c r="H38">
        <v>2544</v>
      </c>
      <c r="I38" t="s">
        <v>12</v>
      </c>
      <c r="J38" s="21">
        <f ca="1">DATE(Table2[[#This Row],[Year]],MONTH(1 &amp; Table2[[#This Row],[Month]]),RANDBETWEEN(1,30))</f>
        <v>43912</v>
      </c>
      <c r="L38" s="2">
        <v>2021</v>
      </c>
      <c r="M38" s="2" t="s">
        <v>61</v>
      </c>
      <c r="N38" s="2">
        <v>339784</v>
      </c>
      <c r="O38" s="2">
        <v>545860</v>
      </c>
      <c r="P38" s="2" t="s">
        <v>53</v>
      </c>
    </row>
    <row r="39" spans="1:16">
      <c r="A39">
        <v>2020</v>
      </c>
      <c r="B39" t="s">
        <v>36</v>
      </c>
      <c r="C39" t="s">
        <v>25</v>
      </c>
      <c r="D39" t="s">
        <v>42</v>
      </c>
      <c r="E39">
        <v>1901</v>
      </c>
      <c r="F39">
        <v>1303</v>
      </c>
      <c r="G39">
        <v>4304</v>
      </c>
      <c r="H39">
        <v>2138</v>
      </c>
      <c r="I39" t="s">
        <v>28</v>
      </c>
      <c r="J39" s="21">
        <f ca="1">DATE(Table2[[#This Row],[Year]],MONTH(1 &amp; Table2[[#This Row],[Month]]),RANDBETWEEN(1,30))</f>
        <v>43912</v>
      </c>
      <c r="L39" s="2">
        <v>2022</v>
      </c>
      <c r="M39" s="2" t="s">
        <v>58</v>
      </c>
      <c r="N39" s="2">
        <v>460961</v>
      </c>
      <c r="O39" s="2">
        <v>530671</v>
      </c>
      <c r="P39" s="2" t="s">
        <v>50</v>
      </c>
    </row>
    <row r="40" spans="1:16">
      <c r="A40">
        <v>2020</v>
      </c>
      <c r="B40" t="s">
        <v>36</v>
      </c>
      <c r="C40" t="s">
        <v>23</v>
      </c>
      <c r="D40" t="s">
        <v>34</v>
      </c>
      <c r="E40">
        <v>612</v>
      </c>
      <c r="F40">
        <v>4198</v>
      </c>
      <c r="G40">
        <v>11812</v>
      </c>
      <c r="H40">
        <v>2813</v>
      </c>
      <c r="I40" t="s">
        <v>28</v>
      </c>
      <c r="J40" s="21">
        <f ca="1">DATE(Table2[[#This Row],[Year]],MONTH(1 &amp; Table2[[#This Row],[Month]]),RANDBETWEEN(1,30))</f>
        <v>43893</v>
      </c>
      <c r="L40" s="2">
        <v>2025</v>
      </c>
      <c r="M40" s="2" t="s">
        <v>55</v>
      </c>
      <c r="N40" s="2">
        <v>253286</v>
      </c>
      <c r="O40" s="2">
        <v>219200</v>
      </c>
      <c r="P40" s="2" t="s">
        <v>59</v>
      </c>
    </row>
    <row r="41" spans="1:16">
      <c r="A41">
        <v>2020</v>
      </c>
      <c r="B41" t="s">
        <v>36</v>
      </c>
      <c r="C41" t="s">
        <v>29</v>
      </c>
      <c r="D41" t="s">
        <v>34</v>
      </c>
      <c r="E41">
        <v>1070</v>
      </c>
      <c r="F41">
        <v>6434</v>
      </c>
      <c r="G41">
        <v>4454</v>
      </c>
      <c r="H41">
        <v>2053</v>
      </c>
      <c r="I41" t="s">
        <v>12</v>
      </c>
      <c r="J41" s="21">
        <f ca="1">DATE(Table2[[#This Row],[Year]],MONTH(1 &amp; Table2[[#This Row],[Month]]),RANDBETWEEN(1,30))</f>
        <v>43897</v>
      </c>
      <c r="L41" s="2">
        <v>2025</v>
      </c>
      <c r="M41" s="2" t="s">
        <v>51</v>
      </c>
      <c r="N41" s="2">
        <v>186533</v>
      </c>
      <c r="O41" s="2">
        <v>384125</v>
      </c>
      <c r="P41" s="2" t="s">
        <v>53</v>
      </c>
    </row>
    <row r="42" spans="1:16">
      <c r="A42">
        <v>2020</v>
      </c>
      <c r="B42" t="s">
        <v>36</v>
      </c>
      <c r="C42" t="s">
        <v>10</v>
      </c>
      <c r="D42" t="s">
        <v>22</v>
      </c>
      <c r="E42">
        <v>65</v>
      </c>
      <c r="F42">
        <v>7733</v>
      </c>
      <c r="G42">
        <v>11578</v>
      </c>
      <c r="H42">
        <v>1183</v>
      </c>
      <c r="I42" t="s">
        <v>28</v>
      </c>
      <c r="J42" s="21">
        <f ca="1">DATE(Table2[[#This Row],[Year]],MONTH(1 &amp; Table2[[#This Row],[Month]]),RANDBETWEEN(1,30))</f>
        <v>43915</v>
      </c>
      <c r="L42" s="2">
        <v>2024</v>
      </c>
      <c r="M42" s="2" t="s">
        <v>61</v>
      </c>
      <c r="N42" s="2">
        <v>277031</v>
      </c>
      <c r="O42" s="2">
        <v>689516</v>
      </c>
      <c r="P42" s="2" t="s">
        <v>50</v>
      </c>
    </row>
    <row r="43" spans="1:16">
      <c r="A43">
        <v>2020</v>
      </c>
      <c r="B43" t="s">
        <v>36</v>
      </c>
      <c r="C43" t="s">
        <v>15</v>
      </c>
      <c r="D43" t="s">
        <v>23</v>
      </c>
      <c r="E43">
        <v>3628</v>
      </c>
      <c r="F43">
        <v>4171</v>
      </c>
      <c r="G43">
        <v>7990</v>
      </c>
      <c r="H43">
        <v>280</v>
      </c>
      <c r="I43" t="s">
        <v>18</v>
      </c>
      <c r="J43" s="21">
        <f ca="1">DATE(Table2[[#This Row],[Year]],MONTH(1 &amp; Table2[[#This Row],[Month]]),RANDBETWEEN(1,30))</f>
        <v>43891</v>
      </c>
      <c r="L43" s="2">
        <v>2024</v>
      </c>
      <c r="M43" s="2" t="s">
        <v>51</v>
      </c>
      <c r="N43" s="2">
        <v>119345</v>
      </c>
      <c r="O43" s="2">
        <v>410368</v>
      </c>
      <c r="P43" s="2" t="s">
        <v>59</v>
      </c>
    </row>
    <row r="44" spans="1:16">
      <c r="A44">
        <v>2020</v>
      </c>
      <c r="B44" t="s">
        <v>36</v>
      </c>
      <c r="C44" t="s">
        <v>15</v>
      </c>
      <c r="D44" t="s">
        <v>20</v>
      </c>
      <c r="E44">
        <v>1661</v>
      </c>
      <c r="F44">
        <v>7108</v>
      </c>
      <c r="G44">
        <v>7001</v>
      </c>
      <c r="H44">
        <v>490</v>
      </c>
      <c r="I44" t="s">
        <v>18</v>
      </c>
      <c r="J44" s="21">
        <f ca="1">DATE(Table2[[#This Row],[Year]],MONTH(1 &amp; Table2[[#This Row],[Month]]),RANDBETWEEN(1,30))</f>
        <v>43893</v>
      </c>
      <c r="L44" s="2">
        <v>2024</v>
      </c>
      <c r="M44" s="2" t="s">
        <v>57</v>
      </c>
      <c r="N44" s="2">
        <v>428195</v>
      </c>
      <c r="O44" s="2">
        <v>450973</v>
      </c>
      <c r="P44" s="2" t="s">
        <v>59</v>
      </c>
    </row>
    <row r="45" spans="1:16">
      <c r="A45">
        <v>2020</v>
      </c>
      <c r="B45" t="s">
        <v>36</v>
      </c>
      <c r="C45" t="s">
        <v>23</v>
      </c>
      <c r="D45" t="s">
        <v>37</v>
      </c>
      <c r="E45">
        <v>494</v>
      </c>
      <c r="F45">
        <v>7540</v>
      </c>
      <c r="G45">
        <v>3993</v>
      </c>
      <c r="H45">
        <v>1996</v>
      </c>
      <c r="I45" t="s">
        <v>28</v>
      </c>
      <c r="J45" s="21">
        <f ca="1">DATE(Table2[[#This Row],[Year]],MONTH(1 &amp; Table2[[#This Row],[Month]]),RANDBETWEEN(1,30))</f>
        <v>43914</v>
      </c>
      <c r="L45" s="2">
        <v>2023</v>
      </c>
      <c r="M45" s="2" t="s">
        <v>48</v>
      </c>
      <c r="N45" s="2">
        <v>430536</v>
      </c>
      <c r="O45" s="2">
        <v>654965</v>
      </c>
      <c r="P45" s="2" t="s">
        <v>50</v>
      </c>
    </row>
    <row r="46" spans="1:16">
      <c r="A46">
        <v>2020</v>
      </c>
      <c r="B46" t="s">
        <v>14</v>
      </c>
      <c r="C46" t="s">
        <v>15</v>
      </c>
      <c r="D46" t="s">
        <v>35</v>
      </c>
      <c r="E46">
        <v>3804</v>
      </c>
      <c r="F46">
        <v>8902</v>
      </c>
      <c r="G46">
        <v>11061</v>
      </c>
      <c r="H46">
        <v>2381</v>
      </c>
      <c r="I46" t="s">
        <v>28</v>
      </c>
      <c r="J46" s="21">
        <f ca="1">DATE(Table2[[#This Row],[Year]],MONTH(1 &amp; Table2[[#This Row],[Month]]),RANDBETWEEN(1,30))</f>
        <v>43940</v>
      </c>
      <c r="L46" s="2">
        <v>2023</v>
      </c>
      <c r="M46" s="2" t="s">
        <v>51</v>
      </c>
      <c r="N46" s="2">
        <v>335200</v>
      </c>
      <c r="O46" s="2">
        <v>558631</v>
      </c>
      <c r="P46" s="2" t="s">
        <v>49</v>
      </c>
    </row>
    <row r="47" spans="1:16">
      <c r="A47">
        <v>2020</v>
      </c>
      <c r="B47" t="s">
        <v>14</v>
      </c>
      <c r="C47" t="s">
        <v>25</v>
      </c>
      <c r="D47" t="s">
        <v>17</v>
      </c>
      <c r="E47">
        <v>846</v>
      </c>
      <c r="F47">
        <v>1645</v>
      </c>
      <c r="G47">
        <v>11972</v>
      </c>
      <c r="H47">
        <v>749</v>
      </c>
      <c r="I47" t="s">
        <v>12</v>
      </c>
      <c r="J47" s="21">
        <f ca="1">DATE(Table2[[#This Row],[Year]],MONTH(1 &amp; Table2[[#This Row],[Month]]),RANDBETWEEN(1,30))</f>
        <v>43925</v>
      </c>
      <c r="L47" s="2">
        <v>2024</v>
      </c>
      <c r="M47" s="2" t="s">
        <v>61</v>
      </c>
      <c r="N47" s="2">
        <v>241241</v>
      </c>
      <c r="O47" s="2">
        <v>491035</v>
      </c>
      <c r="P47" s="2" t="s">
        <v>50</v>
      </c>
    </row>
    <row r="48" spans="1:16">
      <c r="A48">
        <v>2020</v>
      </c>
      <c r="B48" t="s">
        <v>14</v>
      </c>
      <c r="C48" t="s">
        <v>15</v>
      </c>
      <c r="D48" t="s">
        <v>22</v>
      </c>
      <c r="E48">
        <v>3654</v>
      </c>
      <c r="F48">
        <v>1520</v>
      </c>
      <c r="G48">
        <v>5602</v>
      </c>
      <c r="H48">
        <v>438</v>
      </c>
      <c r="I48" t="s">
        <v>28</v>
      </c>
      <c r="J48" s="21">
        <f ca="1">DATE(Table2[[#This Row],[Year]],MONTH(1 &amp; Table2[[#This Row],[Month]]),RANDBETWEEN(1,30))</f>
        <v>43932</v>
      </c>
      <c r="L48" s="2">
        <v>2021</v>
      </c>
      <c r="M48" s="2" t="s">
        <v>58</v>
      </c>
      <c r="N48" s="2">
        <v>419913</v>
      </c>
      <c r="O48" s="2">
        <v>598902</v>
      </c>
      <c r="P48" s="2" t="s">
        <v>50</v>
      </c>
    </row>
    <row r="49" spans="1:16">
      <c r="A49">
        <v>2020</v>
      </c>
      <c r="B49" t="s">
        <v>14</v>
      </c>
      <c r="C49" t="s">
        <v>15</v>
      </c>
      <c r="D49" t="s">
        <v>42</v>
      </c>
      <c r="E49">
        <v>3751</v>
      </c>
      <c r="F49">
        <v>3137</v>
      </c>
      <c r="G49">
        <v>9644</v>
      </c>
      <c r="H49">
        <v>2087</v>
      </c>
      <c r="I49" t="s">
        <v>28</v>
      </c>
      <c r="J49" s="21">
        <f ca="1">DATE(Table2[[#This Row],[Year]],MONTH(1 &amp; Table2[[#This Row],[Month]]),RANDBETWEEN(1,30))</f>
        <v>43943</v>
      </c>
      <c r="L49" s="2">
        <v>2022</v>
      </c>
      <c r="M49" s="2" t="s">
        <v>48</v>
      </c>
      <c r="N49" s="2">
        <v>321875</v>
      </c>
      <c r="O49" s="2">
        <v>632183</v>
      </c>
      <c r="P49" s="2" t="s">
        <v>49</v>
      </c>
    </row>
    <row r="50" spans="1:16">
      <c r="A50">
        <v>2020</v>
      </c>
      <c r="B50" t="s">
        <v>14</v>
      </c>
      <c r="C50" t="s">
        <v>10</v>
      </c>
      <c r="D50" t="s">
        <v>42</v>
      </c>
      <c r="E50">
        <v>3275</v>
      </c>
      <c r="F50">
        <v>2944</v>
      </c>
      <c r="G50">
        <v>4762</v>
      </c>
      <c r="H50">
        <v>1502</v>
      </c>
      <c r="I50" t="s">
        <v>18</v>
      </c>
      <c r="J50" s="21">
        <f ca="1">DATE(Table2[[#This Row],[Year]],MONTH(1 &amp; Table2[[#This Row],[Month]]),RANDBETWEEN(1,30))</f>
        <v>43940</v>
      </c>
      <c r="L50" s="2">
        <v>2020</v>
      </c>
      <c r="M50" s="2" t="s">
        <v>58</v>
      </c>
      <c r="N50" s="2">
        <v>430373</v>
      </c>
      <c r="O50" s="2">
        <v>428444</v>
      </c>
      <c r="P50" s="2" t="s">
        <v>59</v>
      </c>
    </row>
    <row r="51" spans="1:16">
      <c r="A51">
        <v>2020</v>
      </c>
      <c r="B51" t="s">
        <v>14</v>
      </c>
      <c r="C51" t="s">
        <v>10</v>
      </c>
      <c r="D51" t="s">
        <v>38</v>
      </c>
      <c r="E51">
        <v>2230</v>
      </c>
      <c r="F51">
        <v>6636</v>
      </c>
      <c r="G51">
        <v>5828</v>
      </c>
      <c r="H51">
        <v>1465</v>
      </c>
      <c r="I51" t="s">
        <v>12</v>
      </c>
      <c r="J51" s="21">
        <f ca="1">DATE(Table2[[#This Row],[Year]],MONTH(1 &amp; Table2[[#This Row],[Month]]),RANDBETWEEN(1,30))</f>
        <v>43929</v>
      </c>
      <c r="L51" s="2">
        <v>2025</v>
      </c>
      <c r="M51" s="2" t="s">
        <v>57</v>
      </c>
      <c r="N51" s="2">
        <v>352584</v>
      </c>
      <c r="O51" s="2">
        <v>437554</v>
      </c>
      <c r="P51" s="2" t="s">
        <v>50</v>
      </c>
    </row>
    <row r="52" spans="1:16">
      <c r="A52">
        <v>2020</v>
      </c>
      <c r="B52" t="s">
        <v>14</v>
      </c>
      <c r="C52" t="s">
        <v>15</v>
      </c>
      <c r="D52" t="s">
        <v>34</v>
      </c>
      <c r="E52">
        <v>838</v>
      </c>
      <c r="F52">
        <v>3756</v>
      </c>
      <c r="G52">
        <v>8327</v>
      </c>
      <c r="H52">
        <v>979</v>
      </c>
      <c r="I52" t="s">
        <v>12</v>
      </c>
      <c r="J52" s="21">
        <f ca="1">DATE(Table2[[#This Row],[Year]],MONTH(1 &amp; Table2[[#This Row],[Month]]),RANDBETWEEN(1,30))</f>
        <v>43922</v>
      </c>
      <c r="L52" s="2">
        <v>2024</v>
      </c>
      <c r="M52" s="2" t="s">
        <v>54</v>
      </c>
      <c r="N52" s="2">
        <v>413762</v>
      </c>
      <c r="O52" s="2">
        <v>393025</v>
      </c>
      <c r="P52" s="2" t="s">
        <v>49</v>
      </c>
    </row>
    <row r="53" spans="1:16">
      <c r="A53">
        <v>2020</v>
      </c>
      <c r="B53" t="s">
        <v>14</v>
      </c>
      <c r="C53" t="s">
        <v>15</v>
      </c>
      <c r="D53" t="s">
        <v>20</v>
      </c>
      <c r="E53">
        <v>1870</v>
      </c>
      <c r="F53">
        <v>6088</v>
      </c>
      <c r="G53">
        <v>8610</v>
      </c>
      <c r="H53">
        <v>2464</v>
      </c>
      <c r="I53" t="s">
        <v>18</v>
      </c>
      <c r="J53" s="21">
        <f ca="1">DATE(Table2[[#This Row],[Year]],MONTH(1 &amp; Table2[[#This Row],[Month]]),RANDBETWEEN(1,30))</f>
        <v>43950</v>
      </c>
      <c r="L53" s="2">
        <v>2025</v>
      </c>
      <c r="M53" s="2" t="s">
        <v>52</v>
      </c>
      <c r="N53" s="2">
        <v>339425</v>
      </c>
      <c r="O53" s="2">
        <v>683353</v>
      </c>
      <c r="P53" s="2" t="s">
        <v>49</v>
      </c>
    </row>
    <row r="54" spans="1:16">
      <c r="A54">
        <v>2020</v>
      </c>
      <c r="B54" t="s">
        <v>14</v>
      </c>
      <c r="C54" t="s">
        <v>23</v>
      </c>
      <c r="D54" t="s">
        <v>23</v>
      </c>
      <c r="E54">
        <v>2454</v>
      </c>
      <c r="F54">
        <v>7474</v>
      </c>
      <c r="G54">
        <v>4779</v>
      </c>
      <c r="H54">
        <v>1060</v>
      </c>
      <c r="I54" t="s">
        <v>18</v>
      </c>
      <c r="J54" s="21">
        <f ca="1">DATE(Table2[[#This Row],[Year]],MONTH(1 &amp; Table2[[#This Row],[Month]]),RANDBETWEEN(1,30))</f>
        <v>43931</v>
      </c>
      <c r="L54" s="2">
        <v>2021</v>
      </c>
      <c r="M54" s="2" t="s">
        <v>61</v>
      </c>
      <c r="N54" s="2">
        <v>265656</v>
      </c>
      <c r="O54" s="2">
        <v>548583</v>
      </c>
      <c r="P54" s="2" t="s">
        <v>53</v>
      </c>
    </row>
    <row r="55" spans="1:16">
      <c r="A55">
        <v>2020</v>
      </c>
      <c r="B55" t="s">
        <v>14</v>
      </c>
      <c r="C55" t="s">
        <v>23</v>
      </c>
      <c r="D55" t="s">
        <v>38</v>
      </c>
      <c r="E55">
        <v>2971</v>
      </c>
      <c r="F55">
        <v>8979</v>
      </c>
      <c r="G55">
        <v>8664</v>
      </c>
      <c r="H55">
        <v>563</v>
      </c>
      <c r="I55" t="s">
        <v>18</v>
      </c>
      <c r="J55" s="21">
        <f ca="1">DATE(Table2[[#This Row],[Year]],MONTH(1 &amp; Table2[[#This Row],[Month]]),RANDBETWEEN(1,30))</f>
        <v>43947</v>
      </c>
      <c r="L55" s="2">
        <v>2025</v>
      </c>
      <c r="M55" s="2" t="s">
        <v>60</v>
      </c>
      <c r="N55" s="2">
        <v>483178</v>
      </c>
      <c r="O55" s="2">
        <v>241612</v>
      </c>
      <c r="P55" s="2" t="s">
        <v>59</v>
      </c>
    </row>
    <row r="56" spans="1:16">
      <c r="A56">
        <v>2020</v>
      </c>
      <c r="B56" t="s">
        <v>14</v>
      </c>
      <c r="C56" t="s">
        <v>15</v>
      </c>
      <c r="D56" t="s">
        <v>11</v>
      </c>
      <c r="E56">
        <v>3484</v>
      </c>
      <c r="F56">
        <v>8440</v>
      </c>
      <c r="G56">
        <v>9423</v>
      </c>
      <c r="H56">
        <v>1758</v>
      </c>
      <c r="I56" t="s">
        <v>12</v>
      </c>
      <c r="J56" s="21">
        <f ca="1">DATE(Table2[[#This Row],[Year]],MONTH(1 &amp; Table2[[#This Row],[Month]]),RANDBETWEEN(1,30))</f>
        <v>43941</v>
      </c>
      <c r="L56" s="2">
        <v>2021</v>
      </c>
      <c r="M56" s="2" t="s">
        <v>52</v>
      </c>
      <c r="N56" s="2">
        <v>316446</v>
      </c>
      <c r="O56" s="2">
        <v>631480</v>
      </c>
      <c r="P56" s="2" t="s">
        <v>50</v>
      </c>
    </row>
    <row r="57" spans="1:16">
      <c r="A57">
        <v>2020</v>
      </c>
      <c r="B57" t="s">
        <v>14</v>
      </c>
      <c r="C57" t="s">
        <v>15</v>
      </c>
      <c r="D57" t="s">
        <v>30</v>
      </c>
      <c r="E57">
        <v>2587</v>
      </c>
      <c r="F57">
        <v>5641</v>
      </c>
      <c r="G57">
        <v>9071</v>
      </c>
      <c r="H57">
        <v>637</v>
      </c>
      <c r="I57" t="s">
        <v>28</v>
      </c>
      <c r="J57" s="21">
        <f ca="1">DATE(Table2[[#This Row],[Year]],MONTH(1 &amp; Table2[[#This Row],[Month]]),RANDBETWEEN(1,30))</f>
        <v>43949</v>
      </c>
      <c r="L57" s="2">
        <v>2021</v>
      </c>
      <c r="M57" s="2" t="s">
        <v>54</v>
      </c>
      <c r="N57" s="2">
        <v>342036</v>
      </c>
      <c r="O57" s="2">
        <v>440280</v>
      </c>
      <c r="P57" s="2" t="s">
        <v>49</v>
      </c>
    </row>
    <row r="58" spans="1:16">
      <c r="A58">
        <v>2020</v>
      </c>
      <c r="B58" t="s">
        <v>14</v>
      </c>
      <c r="C58" t="s">
        <v>29</v>
      </c>
      <c r="D58" t="s">
        <v>26</v>
      </c>
      <c r="E58">
        <v>1559</v>
      </c>
      <c r="F58">
        <v>2034</v>
      </c>
      <c r="G58">
        <v>6543</v>
      </c>
      <c r="H58">
        <v>764</v>
      </c>
      <c r="I58" t="s">
        <v>18</v>
      </c>
      <c r="J58" s="21">
        <f ca="1">DATE(Table2[[#This Row],[Year]],MONTH(1 &amp; Table2[[#This Row],[Month]]),RANDBETWEEN(1,30))</f>
        <v>43947</v>
      </c>
      <c r="L58" s="2">
        <v>2023</v>
      </c>
      <c r="M58" s="2" t="s">
        <v>56</v>
      </c>
      <c r="N58" s="2">
        <v>188195</v>
      </c>
      <c r="O58" s="2">
        <v>234377</v>
      </c>
      <c r="P58" s="2" t="s">
        <v>59</v>
      </c>
    </row>
    <row r="59" spans="1:16">
      <c r="A59">
        <v>2020</v>
      </c>
      <c r="B59" t="s">
        <v>33</v>
      </c>
      <c r="C59" t="s">
        <v>25</v>
      </c>
      <c r="D59" t="s">
        <v>42</v>
      </c>
      <c r="E59">
        <v>3521</v>
      </c>
      <c r="F59">
        <v>2441</v>
      </c>
      <c r="G59">
        <v>10538</v>
      </c>
      <c r="H59">
        <v>2097</v>
      </c>
      <c r="I59" t="s">
        <v>18</v>
      </c>
      <c r="J59" s="21">
        <f ca="1">DATE(Table2[[#This Row],[Year]],MONTH(1 &amp; Table2[[#This Row],[Month]]),RANDBETWEEN(1,30))</f>
        <v>43970</v>
      </c>
      <c r="L59" s="2">
        <v>2024</v>
      </c>
      <c r="M59" s="2" t="s">
        <v>57</v>
      </c>
      <c r="N59" s="2">
        <v>350260</v>
      </c>
      <c r="O59" s="2">
        <v>474859</v>
      </c>
      <c r="P59" s="2" t="s">
        <v>53</v>
      </c>
    </row>
    <row r="60" spans="1:16">
      <c r="A60">
        <v>2020</v>
      </c>
      <c r="B60" t="s">
        <v>33</v>
      </c>
      <c r="C60" t="s">
        <v>21</v>
      </c>
      <c r="D60" t="s">
        <v>30</v>
      </c>
      <c r="E60">
        <v>2780</v>
      </c>
      <c r="F60">
        <v>2279</v>
      </c>
      <c r="G60">
        <v>10957</v>
      </c>
      <c r="H60">
        <v>1784</v>
      </c>
      <c r="I60" t="s">
        <v>28</v>
      </c>
      <c r="J60" s="21">
        <f ca="1">DATE(Table2[[#This Row],[Year]],MONTH(1 &amp; Table2[[#This Row],[Month]]),RANDBETWEEN(1,30))</f>
        <v>43980</v>
      </c>
      <c r="L60" s="2">
        <v>2025</v>
      </c>
      <c r="M60" s="2" t="s">
        <v>57</v>
      </c>
      <c r="N60" s="2">
        <v>328643</v>
      </c>
      <c r="O60" s="2">
        <v>408582</v>
      </c>
      <c r="P60" s="2" t="s">
        <v>50</v>
      </c>
    </row>
    <row r="61" spans="1:16">
      <c r="A61">
        <v>2020</v>
      </c>
      <c r="B61" t="s">
        <v>33</v>
      </c>
      <c r="C61" t="s">
        <v>29</v>
      </c>
      <c r="D61" t="s">
        <v>17</v>
      </c>
      <c r="E61">
        <v>835</v>
      </c>
      <c r="F61">
        <v>6053</v>
      </c>
      <c r="G61">
        <v>8624</v>
      </c>
      <c r="H61">
        <v>2911</v>
      </c>
      <c r="I61" t="s">
        <v>28</v>
      </c>
      <c r="J61" s="21">
        <f ca="1">DATE(Table2[[#This Row],[Year]],MONTH(1 &amp; Table2[[#This Row],[Month]]),RANDBETWEEN(1,30))</f>
        <v>43959</v>
      </c>
      <c r="L61" s="2">
        <v>2022</v>
      </c>
      <c r="M61" s="2" t="s">
        <v>60</v>
      </c>
      <c r="N61" s="2">
        <v>173935</v>
      </c>
      <c r="O61" s="2">
        <v>638875</v>
      </c>
      <c r="P61" s="2" t="s">
        <v>49</v>
      </c>
    </row>
    <row r="62" spans="1:16">
      <c r="A62">
        <v>2020</v>
      </c>
      <c r="B62" t="s">
        <v>33</v>
      </c>
      <c r="C62" t="s">
        <v>25</v>
      </c>
      <c r="D62" t="s">
        <v>34</v>
      </c>
      <c r="E62">
        <v>585</v>
      </c>
      <c r="F62">
        <v>6781</v>
      </c>
      <c r="G62">
        <v>6287</v>
      </c>
      <c r="H62">
        <v>656</v>
      </c>
      <c r="I62" t="s">
        <v>18</v>
      </c>
      <c r="J62" s="21">
        <f ca="1">DATE(Table2[[#This Row],[Year]],MONTH(1 &amp; Table2[[#This Row],[Month]]),RANDBETWEEN(1,30))</f>
        <v>43974</v>
      </c>
      <c r="L62" s="2">
        <v>2020</v>
      </c>
      <c r="M62" s="2" t="s">
        <v>48</v>
      </c>
      <c r="N62" s="2">
        <v>123835</v>
      </c>
      <c r="O62" s="2">
        <v>301997</v>
      </c>
      <c r="P62" s="2" t="s">
        <v>53</v>
      </c>
    </row>
    <row r="63" spans="1:16">
      <c r="A63">
        <v>2020</v>
      </c>
      <c r="B63" t="s">
        <v>33</v>
      </c>
      <c r="C63" t="s">
        <v>21</v>
      </c>
      <c r="D63" t="s">
        <v>43</v>
      </c>
      <c r="E63">
        <v>700</v>
      </c>
      <c r="F63">
        <v>3290</v>
      </c>
      <c r="G63">
        <v>3104</v>
      </c>
      <c r="H63">
        <v>2139</v>
      </c>
      <c r="I63" t="s">
        <v>18</v>
      </c>
      <c r="J63" s="21">
        <f ca="1">DATE(Table2[[#This Row],[Year]],MONTH(1 &amp; Table2[[#This Row],[Month]]),RANDBETWEEN(1,30))</f>
        <v>43966</v>
      </c>
      <c r="L63" s="2">
        <v>2025</v>
      </c>
      <c r="M63" s="2" t="s">
        <v>48</v>
      </c>
      <c r="N63" s="2">
        <v>341744</v>
      </c>
      <c r="O63" s="2">
        <v>613232</v>
      </c>
      <c r="P63" s="2" t="s">
        <v>53</v>
      </c>
    </row>
    <row r="64" spans="1:16">
      <c r="A64">
        <v>2020</v>
      </c>
      <c r="B64" t="s">
        <v>33</v>
      </c>
      <c r="C64" t="s">
        <v>23</v>
      </c>
      <c r="D64" t="s">
        <v>17</v>
      </c>
      <c r="E64">
        <v>609</v>
      </c>
      <c r="F64">
        <v>5086</v>
      </c>
      <c r="G64">
        <v>6642</v>
      </c>
      <c r="H64">
        <v>360</v>
      </c>
      <c r="I64" t="s">
        <v>18</v>
      </c>
      <c r="J64" s="21">
        <f ca="1">DATE(Table2[[#This Row],[Year]],MONTH(1 &amp; Table2[[#This Row],[Month]]),RANDBETWEEN(1,30))</f>
        <v>43956</v>
      </c>
      <c r="L64" s="2">
        <v>2025</v>
      </c>
      <c r="M64" s="2" t="s">
        <v>55</v>
      </c>
      <c r="N64" s="2">
        <v>405477</v>
      </c>
      <c r="O64" s="2">
        <v>478844</v>
      </c>
      <c r="P64" s="2" t="s">
        <v>53</v>
      </c>
    </row>
    <row r="65" spans="1:16">
      <c r="A65">
        <v>2020</v>
      </c>
      <c r="B65" t="s">
        <v>33</v>
      </c>
      <c r="C65" t="s">
        <v>15</v>
      </c>
      <c r="D65" t="s">
        <v>23</v>
      </c>
      <c r="E65">
        <v>2524</v>
      </c>
      <c r="F65">
        <v>3584</v>
      </c>
      <c r="G65">
        <v>3317</v>
      </c>
      <c r="H65">
        <v>2248</v>
      </c>
      <c r="I65" t="s">
        <v>18</v>
      </c>
      <c r="J65" s="21">
        <f ca="1">DATE(Table2[[#This Row],[Year]],MONTH(1 &amp; Table2[[#This Row],[Month]]),RANDBETWEEN(1,30))</f>
        <v>43968</v>
      </c>
      <c r="L65" s="2">
        <v>2022</v>
      </c>
      <c r="M65" s="2" t="s">
        <v>55</v>
      </c>
      <c r="N65" s="2">
        <v>309361</v>
      </c>
      <c r="O65" s="2">
        <v>227305</v>
      </c>
      <c r="P65" s="2" t="s">
        <v>59</v>
      </c>
    </row>
    <row r="66" spans="1:16">
      <c r="A66">
        <v>2020</v>
      </c>
      <c r="B66" t="s">
        <v>33</v>
      </c>
      <c r="C66" t="s">
        <v>29</v>
      </c>
      <c r="D66" t="s">
        <v>37</v>
      </c>
      <c r="E66">
        <v>387</v>
      </c>
      <c r="F66">
        <v>5613</v>
      </c>
      <c r="G66">
        <v>5453</v>
      </c>
      <c r="H66">
        <v>1913</v>
      </c>
      <c r="I66" t="s">
        <v>28</v>
      </c>
      <c r="J66" s="21">
        <f ca="1">DATE(Table2[[#This Row],[Year]],MONTH(1 &amp; Table2[[#This Row],[Month]]),RANDBETWEEN(1,30))</f>
        <v>43958</v>
      </c>
      <c r="L66" s="2">
        <v>2025</v>
      </c>
      <c r="M66" s="2" t="s">
        <v>57</v>
      </c>
      <c r="N66" s="2">
        <v>190709</v>
      </c>
      <c r="O66" s="2">
        <v>685923</v>
      </c>
      <c r="P66" s="2" t="s">
        <v>50</v>
      </c>
    </row>
    <row r="67" spans="1:16">
      <c r="A67">
        <v>2020</v>
      </c>
      <c r="B67" t="s">
        <v>33</v>
      </c>
      <c r="C67" t="s">
        <v>21</v>
      </c>
      <c r="D67" t="s">
        <v>37</v>
      </c>
      <c r="E67">
        <v>1842</v>
      </c>
      <c r="F67">
        <v>5127</v>
      </c>
      <c r="G67">
        <v>7837</v>
      </c>
      <c r="H67">
        <v>2468</v>
      </c>
      <c r="I67" t="s">
        <v>28</v>
      </c>
      <c r="J67" s="21">
        <f ca="1">DATE(Table2[[#This Row],[Year]],MONTH(1 &amp; Table2[[#This Row],[Month]]),RANDBETWEEN(1,30))</f>
        <v>43970</v>
      </c>
      <c r="L67" s="2">
        <v>2021</v>
      </c>
      <c r="M67" s="2" t="s">
        <v>57</v>
      </c>
      <c r="N67" s="2">
        <v>366609</v>
      </c>
      <c r="O67" s="2">
        <v>456308</v>
      </c>
      <c r="P67" s="2" t="s">
        <v>50</v>
      </c>
    </row>
    <row r="68" spans="1:16">
      <c r="A68">
        <v>2020</v>
      </c>
      <c r="B68" t="s">
        <v>33</v>
      </c>
      <c r="C68" t="s">
        <v>23</v>
      </c>
      <c r="D68" t="s">
        <v>38</v>
      </c>
      <c r="E68">
        <v>2719</v>
      </c>
      <c r="F68">
        <v>3922</v>
      </c>
      <c r="G68">
        <v>4953</v>
      </c>
      <c r="H68">
        <v>2230</v>
      </c>
      <c r="I68" t="s">
        <v>18</v>
      </c>
      <c r="J68" s="21">
        <f ca="1">DATE(Table2[[#This Row],[Year]],MONTH(1 &amp; Table2[[#This Row],[Month]]),RANDBETWEEN(1,30))</f>
        <v>43964</v>
      </c>
      <c r="L68" s="2">
        <v>2025</v>
      </c>
      <c r="M68" s="2" t="s">
        <v>58</v>
      </c>
      <c r="N68" s="2">
        <v>132042</v>
      </c>
      <c r="O68" s="2">
        <v>345438</v>
      </c>
      <c r="P68" s="2" t="s">
        <v>50</v>
      </c>
    </row>
    <row r="69" spans="1:16">
      <c r="A69">
        <v>2020</v>
      </c>
      <c r="B69" t="s">
        <v>33</v>
      </c>
      <c r="C69" t="s">
        <v>21</v>
      </c>
      <c r="D69" t="s">
        <v>17</v>
      </c>
      <c r="E69">
        <v>869</v>
      </c>
      <c r="F69">
        <v>4378</v>
      </c>
      <c r="G69">
        <v>8668</v>
      </c>
      <c r="H69">
        <v>2448</v>
      </c>
      <c r="I69" t="s">
        <v>12</v>
      </c>
      <c r="J69" s="21">
        <f ca="1">DATE(Table2[[#This Row],[Year]],MONTH(1 &amp; Table2[[#This Row],[Month]]),RANDBETWEEN(1,30))</f>
        <v>43957</v>
      </c>
      <c r="L69" s="2">
        <v>2024</v>
      </c>
      <c r="M69" s="2" t="s">
        <v>58</v>
      </c>
      <c r="N69" s="2">
        <v>276733</v>
      </c>
      <c r="O69" s="2">
        <v>434703</v>
      </c>
      <c r="P69" s="2" t="s">
        <v>49</v>
      </c>
    </row>
    <row r="70" spans="1:16">
      <c r="A70">
        <v>2020</v>
      </c>
      <c r="B70" t="s">
        <v>33</v>
      </c>
      <c r="C70" t="s">
        <v>15</v>
      </c>
      <c r="D70" t="s">
        <v>17</v>
      </c>
      <c r="E70">
        <v>3776</v>
      </c>
      <c r="F70">
        <v>6146</v>
      </c>
      <c r="G70">
        <v>8493</v>
      </c>
      <c r="H70">
        <v>245</v>
      </c>
      <c r="I70" t="s">
        <v>12</v>
      </c>
      <c r="J70" s="21">
        <f ca="1">DATE(Table2[[#This Row],[Year]],MONTH(1 &amp; Table2[[#This Row],[Month]]),RANDBETWEEN(1,30))</f>
        <v>43970</v>
      </c>
      <c r="L70" s="2">
        <v>2023</v>
      </c>
      <c r="M70" s="2" t="s">
        <v>52</v>
      </c>
      <c r="N70" s="2">
        <v>165347</v>
      </c>
      <c r="O70" s="2">
        <v>628929</v>
      </c>
      <c r="P70" s="2" t="s">
        <v>53</v>
      </c>
    </row>
    <row r="71" spans="1:16">
      <c r="A71">
        <v>2020</v>
      </c>
      <c r="B71" t="s">
        <v>33</v>
      </c>
      <c r="C71" t="s">
        <v>23</v>
      </c>
      <c r="D71" t="s">
        <v>11</v>
      </c>
      <c r="E71">
        <v>1398</v>
      </c>
      <c r="F71">
        <v>9183</v>
      </c>
      <c r="G71">
        <v>10171</v>
      </c>
      <c r="H71">
        <v>817</v>
      </c>
      <c r="I71" t="s">
        <v>12</v>
      </c>
      <c r="J71" s="21">
        <f ca="1">DATE(Table2[[#This Row],[Year]],MONTH(1 &amp; Table2[[#This Row],[Month]]),RANDBETWEEN(1,30))</f>
        <v>43966</v>
      </c>
      <c r="L71" s="2">
        <v>2025</v>
      </c>
      <c r="M71" s="2" t="s">
        <v>58</v>
      </c>
      <c r="N71" s="2">
        <v>173784</v>
      </c>
      <c r="O71" s="2">
        <v>352452</v>
      </c>
      <c r="P71" s="2" t="s">
        <v>50</v>
      </c>
    </row>
    <row r="72" spans="1:16">
      <c r="A72">
        <v>2020</v>
      </c>
      <c r="B72" t="s">
        <v>27</v>
      </c>
      <c r="C72" t="s">
        <v>15</v>
      </c>
      <c r="D72" t="s">
        <v>11</v>
      </c>
      <c r="E72">
        <v>2573</v>
      </c>
      <c r="F72">
        <v>4437</v>
      </c>
      <c r="G72">
        <v>2236</v>
      </c>
      <c r="H72">
        <v>690</v>
      </c>
      <c r="I72" t="s">
        <v>12</v>
      </c>
      <c r="J72" s="21">
        <f ca="1">DATE(Table2[[#This Row],[Year]],MONTH(1 &amp; Table2[[#This Row],[Month]]),RANDBETWEEN(1,30))</f>
        <v>43987</v>
      </c>
      <c r="L72" s="2">
        <v>2023</v>
      </c>
      <c r="M72" s="2" t="s">
        <v>51</v>
      </c>
      <c r="N72" s="2">
        <v>180918</v>
      </c>
      <c r="O72" s="2">
        <v>296338</v>
      </c>
      <c r="P72" s="2" t="s">
        <v>49</v>
      </c>
    </row>
    <row r="73" spans="1:16">
      <c r="A73">
        <v>2020</v>
      </c>
      <c r="B73" t="s">
        <v>27</v>
      </c>
      <c r="C73" t="s">
        <v>21</v>
      </c>
      <c r="D73" t="s">
        <v>35</v>
      </c>
      <c r="E73">
        <v>3981</v>
      </c>
      <c r="F73">
        <v>2350</v>
      </c>
      <c r="G73">
        <v>8078</v>
      </c>
      <c r="H73">
        <v>1484</v>
      </c>
      <c r="I73" t="s">
        <v>28</v>
      </c>
      <c r="J73" s="21">
        <f ca="1">DATE(Table2[[#This Row],[Year]],MONTH(1 &amp; Table2[[#This Row],[Month]]),RANDBETWEEN(1,30))</f>
        <v>43995</v>
      </c>
      <c r="L73" s="2">
        <v>2021</v>
      </c>
      <c r="M73" s="2" t="s">
        <v>60</v>
      </c>
      <c r="N73" s="2">
        <v>254683</v>
      </c>
      <c r="O73" s="2">
        <v>264536</v>
      </c>
      <c r="P73" s="2" t="s">
        <v>49</v>
      </c>
    </row>
    <row r="74" spans="1:16">
      <c r="A74">
        <v>2020</v>
      </c>
      <c r="B74" t="s">
        <v>27</v>
      </c>
      <c r="C74" t="s">
        <v>10</v>
      </c>
      <c r="D74" t="s">
        <v>17</v>
      </c>
      <c r="E74">
        <v>1352</v>
      </c>
      <c r="F74">
        <v>3428</v>
      </c>
      <c r="G74">
        <v>11933</v>
      </c>
      <c r="H74">
        <v>2053</v>
      </c>
      <c r="I74" t="s">
        <v>12</v>
      </c>
      <c r="J74" s="21">
        <f ca="1">DATE(Table2[[#This Row],[Year]],MONTH(1 &amp; Table2[[#This Row],[Month]]),RANDBETWEEN(1,30))</f>
        <v>44012</v>
      </c>
      <c r="L74" s="2">
        <v>2023</v>
      </c>
      <c r="M74" s="2" t="s">
        <v>57</v>
      </c>
      <c r="N74" s="2">
        <v>120460</v>
      </c>
      <c r="O74" s="2">
        <v>348930</v>
      </c>
      <c r="P74" s="2" t="s">
        <v>50</v>
      </c>
    </row>
    <row r="75" spans="1:16">
      <c r="A75">
        <v>2020</v>
      </c>
      <c r="B75" t="s">
        <v>27</v>
      </c>
      <c r="C75" t="s">
        <v>15</v>
      </c>
      <c r="D75" t="s">
        <v>43</v>
      </c>
      <c r="E75">
        <v>575</v>
      </c>
      <c r="F75">
        <v>8573</v>
      </c>
      <c r="G75">
        <v>8236</v>
      </c>
      <c r="H75">
        <v>1833</v>
      </c>
      <c r="I75" t="s">
        <v>18</v>
      </c>
      <c r="J75" s="21">
        <f ca="1">DATE(Table2[[#This Row],[Year]],MONTH(1 &amp; Table2[[#This Row],[Month]]),RANDBETWEEN(1,30))</f>
        <v>44012</v>
      </c>
      <c r="L75" s="2">
        <v>2022</v>
      </c>
      <c r="M75" s="2" t="s">
        <v>51</v>
      </c>
      <c r="N75" s="2">
        <v>259117</v>
      </c>
      <c r="O75" s="2">
        <v>590024</v>
      </c>
      <c r="P75" s="2" t="s">
        <v>49</v>
      </c>
    </row>
    <row r="76" spans="1:16">
      <c r="A76">
        <v>2020</v>
      </c>
      <c r="B76" t="s">
        <v>27</v>
      </c>
      <c r="C76" t="s">
        <v>23</v>
      </c>
      <c r="D76" t="s">
        <v>39</v>
      </c>
      <c r="E76">
        <v>3102</v>
      </c>
      <c r="F76">
        <v>1949</v>
      </c>
      <c r="G76">
        <v>2517</v>
      </c>
      <c r="H76">
        <v>2766</v>
      </c>
      <c r="I76" t="s">
        <v>28</v>
      </c>
      <c r="J76" s="21">
        <f ca="1">DATE(Table2[[#This Row],[Year]],MONTH(1 &amp; Table2[[#This Row],[Month]]),RANDBETWEEN(1,30))</f>
        <v>44011</v>
      </c>
      <c r="L76" s="2">
        <v>2023</v>
      </c>
      <c r="M76" s="2" t="s">
        <v>56</v>
      </c>
      <c r="N76" s="2">
        <v>304683</v>
      </c>
      <c r="O76" s="2">
        <v>435813</v>
      </c>
      <c r="P76" s="2" t="s">
        <v>53</v>
      </c>
    </row>
    <row r="77" spans="1:16">
      <c r="A77">
        <v>2020</v>
      </c>
      <c r="B77" t="s">
        <v>27</v>
      </c>
      <c r="C77" t="s">
        <v>25</v>
      </c>
      <c r="D77" t="s">
        <v>26</v>
      </c>
      <c r="E77">
        <v>2629</v>
      </c>
      <c r="F77">
        <v>8781</v>
      </c>
      <c r="G77">
        <v>3019</v>
      </c>
      <c r="H77">
        <v>1305</v>
      </c>
      <c r="I77" t="s">
        <v>18</v>
      </c>
      <c r="J77" s="21">
        <f ca="1">DATE(Table2[[#This Row],[Year]],MONTH(1 &amp; Table2[[#This Row],[Month]]),RANDBETWEEN(1,30))</f>
        <v>43996</v>
      </c>
      <c r="L77" s="2">
        <v>2024</v>
      </c>
      <c r="M77" s="2" t="s">
        <v>51</v>
      </c>
      <c r="N77" s="2">
        <v>293318</v>
      </c>
      <c r="O77" s="2">
        <v>313741</v>
      </c>
      <c r="P77" s="2" t="s">
        <v>49</v>
      </c>
    </row>
    <row r="78" spans="1:16">
      <c r="A78">
        <v>2020</v>
      </c>
      <c r="B78" t="s">
        <v>27</v>
      </c>
      <c r="C78" t="s">
        <v>23</v>
      </c>
      <c r="D78" t="s">
        <v>37</v>
      </c>
      <c r="E78">
        <v>693</v>
      </c>
      <c r="F78">
        <v>9671</v>
      </c>
      <c r="G78">
        <v>5253</v>
      </c>
      <c r="H78">
        <v>1182</v>
      </c>
      <c r="I78" t="s">
        <v>12</v>
      </c>
      <c r="J78" s="21">
        <f ca="1">DATE(Table2[[#This Row],[Year]],MONTH(1 &amp; Table2[[#This Row],[Month]]),RANDBETWEEN(1,30))</f>
        <v>43995</v>
      </c>
      <c r="L78" s="2">
        <v>2022</v>
      </c>
      <c r="M78" s="2" t="s">
        <v>52</v>
      </c>
      <c r="N78" s="2">
        <v>253114</v>
      </c>
      <c r="O78" s="2">
        <v>283092</v>
      </c>
      <c r="P78" s="2" t="s">
        <v>50</v>
      </c>
    </row>
    <row r="79" spans="1:16">
      <c r="A79">
        <v>2020</v>
      </c>
      <c r="B79" t="s">
        <v>27</v>
      </c>
      <c r="C79" t="s">
        <v>23</v>
      </c>
      <c r="D79" t="s">
        <v>39</v>
      </c>
      <c r="E79">
        <v>973</v>
      </c>
      <c r="F79">
        <v>3045</v>
      </c>
      <c r="G79">
        <v>7977</v>
      </c>
      <c r="H79">
        <v>960</v>
      </c>
      <c r="I79" t="s">
        <v>18</v>
      </c>
      <c r="J79" s="21">
        <f ca="1">DATE(Table2[[#This Row],[Year]],MONTH(1 &amp; Table2[[#This Row],[Month]]),RANDBETWEEN(1,30))</f>
        <v>44002</v>
      </c>
      <c r="L79" s="2">
        <v>2022</v>
      </c>
      <c r="M79" s="2" t="s">
        <v>61</v>
      </c>
      <c r="N79" s="2">
        <v>435659</v>
      </c>
      <c r="O79" s="2">
        <v>366365</v>
      </c>
      <c r="P79" s="2" t="s">
        <v>50</v>
      </c>
    </row>
    <row r="80" spans="1:16">
      <c r="A80">
        <v>2020</v>
      </c>
      <c r="B80" t="s">
        <v>27</v>
      </c>
      <c r="C80" t="s">
        <v>23</v>
      </c>
      <c r="D80" t="s">
        <v>39</v>
      </c>
      <c r="E80">
        <v>3144</v>
      </c>
      <c r="F80">
        <v>3478</v>
      </c>
      <c r="G80">
        <v>10214</v>
      </c>
      <c r="H80">
        <v>2988</v>
      </c>
      <c r="I80" t="s">
        <v>18</v>
      </c>
      <c r="J80" s="21">
        <f ca="1">DATE(Table2[[#This Row],[Year]],MONTH(1 &amp; Table2[[#This Row],[Month]]),RANDBETWEEN(1,30))</f>
        <v>44010</v>
      </c>
      <c r="L80" s="2">
        <v>2023</v>
      </c>
      <c r="M80" s="2" t="s">
        <v>54</v>
      </c>
      <c r="N80" s="2">
        <v>158131</v>
      </c>
      <c r="O80" s="2">
        <v>669962</v>
      </c>
      <c r="P80" s="2" t="s">
        <v>59</v>
      </c>
    </row>
    <row r="81" spans="1:16">
      <c r="A81">
        <v>2020</v>
      </c>
      <c r="B81" t="s">
        <v>27</v>
      </c>
      <c r="C81" t="s">
        <v>25</v>
      </c>
      <c r="D81" t="s">
        <v>43</v>
      </c>
      <c r="E81">
        <v>3105</v>
      </c>
      <c r="F81">
        <v>6812</v>
      </c>
      <c r="G81">
        <v>5755</v>
      </c>
      <c r="H81">
        <v>1440</v>
      </c>
      <c r="I81" t="s">
        <v>18</v>
      </c>
      <c r="J81" s="21">
        <f ca="1">DATE(Table2[[#This Row],[Year]],MONTH(1 &amp; Table2[[#This Row],[Month]]),RANDBETWEEN(1,30))</f>
        <v>43998</v>
      </c>
      <c r="L81" s="2">
        <v>2024</v>
      </c>
      <c r="M81" s="2" t="s">
        <v>61</v>
      </c>
      <c r="N81" s="2">
        <v>302279</v>
      </c>
      <c r="O81" s="2">
        <v>371513</v>
      </c>
      <c r="P81" s="2" t="s">
        <v>50</v>
      </c>
    </row>
    <row r="82" spans="1:16">
      <c r="A82">
        <v>2020</v>
      </c>
      <c r="B82" t="s">
        <v>27</v>
      </c>
      <c r="C82" t="s">
        <v>25</v>
      </c>
      <c r="D82" t="s">
        <v>26</v>
      </c>
      <c r="E82">
        <v>1651</v>
      </c>
      <c r="F82">
        <v>9596</v>
      </c>
      <c r="G82">
        <v>10909</v>
      </c>
      <c r="H82">
        <v>2094</v>
      </c>
      <c r="I82" t="s">
        <v>18</v>
      </c>
      <c r="J82" s="21">
        <f ca="1">DATE(Table2[[#This Row],[Year]],MONTH(1 &amp; Table2[[#This Row],[Month]]),RANDBETWEEN(1,30))</f>
        <v>43988</v>
      </c>
      <c r="L82" s="2">
        <v>2025</v>
      </c>
      <c r="M82" s="2" t="s">
        <v>55</v>
      </c>
      <c r="N82" s="2">
        <v>124817</v>
      </c>
      <c r="O82" s="2">
        <v>694062</v>
      </c>
      <c r="P82" s="2" t="s">
        <v>53</v>
      </c>
    </row>
    <row r="83" spans="1:16">
      <c r="A83">
        <v>2020</v>
      </c>
      <c r="B83" t="s">
        <v>27</v>
      </c>
      <c r="C83" t="s">
        <v>29</v>
      </c>
      <c r="D83" t="s">
        <v>34</v>
      </c>
      <c r="E83">
        <v>329</v>
      </c>
      <c r="F83">
        <v>4458</v>
      </c>
      <c r="G83">
        <v>6840</v>
      </c>
      <c r="H83">
        <v>316</v>
      </c>
      <c r="I83" t="s">
        <v>18</v>
      </c>
      <c r="J83" s="21">
        <f ca="1">DATE(Table2[[#This Row],[Year]],MONTH(1 &amp; Table2[[#This Row],[Month]]),RANDBETWEEN(1,30))</f>
        <v>43985</v>
      </c>
      <c r="L83" s="2">
        <v>2021</v>
      </c>
      <c r="M83" s="2" t="s">
        <v>55</v>
      </c>
      <c r="N83" s="2">
        <v>128462</v>
      </c>
      <c r="O83" s="2">
        <v>442615</v>
      </c>
      <c r="P83" s="2" t="s">
        <v>49</v>
      </c>
    </row>
    <row r="84" spans="1:16">
      <c r="A84">
        <v>2020</v>
      </c>
      <c r="B84" t="s">
        <v>27</v>
      </c>
      <c r="C84" t="s">
        <v>21</v>
      </c>
      <c r="D84" t="s">
        <v>23</v>
      </c>
      <c r="E84">
        <v>319</v>
      </c>
      <c r="F84">
        <v>2574</v>
      </c>
      <c r="G84">
        <v>10225</v>
      </c>
      <c r="H84">
        <v>437</v>
      </c>
      <c r="I84" t="s">
        <v>12</v>
      </c>
      <c r="J84" s="21">
        <f ca="1">DATE(Table2[[#This Row],[Year]],MONTH(1 &amp; Table2[[#This Row],[Month]]),RANDBETWEEN(1,30))</f>
        <v>43984</v>
      </c>
      <c r="L84" s="2">
        <v>2022</v>
      </c>
      <c r="M84" s="2" t="s">
        <v>52</v>
      </c>
      <c r="N84" s="2">
        <v>329546</v>
      </c>
      <c r="O84" s="2">
        <v>289582</v>
      </c>
      <c r="P84" s="2" t="s">
        <v>53</v>
      </c>
    </row>
    <row r="85" spans="1:16">
      <c r="A85">
        <v>2020</v>
      </c>
      <c r="B85" t="s">
        <v>27</v>
      </c>
      <c r="C85" t="s">
        <v>25</v>
      </c>
      <c r="D85" t="s">
        <v>17</v>
      </c>
      <c r="E85">
        <v>2191</v>
      </c>
      <c r="F85">
        <v>2812</v>
      </c>
      <c r="G85">
        <v>8364</v>
      </c>
      <c r="H85">
        <v>1438</v>
      </c>
      <c r="I85" t="s">
        <v>12</v>
      </c>
      <c r="J85" s="21">
        <f ca="1">DATE(Table2[[#This Row],[Year]],MONTH(1 &amp; Table2[[#This Row],[Month]]),RANDBETWEEN(1,30))</f>
        <v>44004</v>
      </c>
      <c r="L85" s="2">
        <v>2025</v>
      </c>
      <c r="M85" s="2" t="s">
        <v>52</v>
      </c>
      <c r="N85" s="2">
        <v>326407</v>
      </c>
      <c r="O85" s="2">
        <v>645570</v>
      </c>
      <c r="P85" s="2" t="s">
        <v>53</v>
      </c>
    </row>
    <row r="86" spans="1:16">
      <c r="A86">
        <v>2020</v>
      </c>
      <c r="B86" t="s">
        <v>40</v>
      </c>
      <c r="C86" t="s">
        <v>10</v>
      </c>
      <c r="D86" t="s">
        <v>34</v>
      </c>
      <c r="E86">
        <v>578</v>
      </c>
      <c r="F86">
        <v>7965</v>
      </c>
      <c r="G86">
        <v>6439</v>
      </c>
      <c r="H86">
        <v>1023</v>
      </c>
      <c r="I86" t="s">
        <v>28</v>
      </c>
      <c r="J86" s="21">
        <f ca="1">DATE(Table2[[#This Row],[Year]],MONTH(1 &amp; Table2[[#This Row],[Month]]),RANDBETWEEN(1,30))</f>
        <v>44029</v>
      </c>
      <c r="L86" s="2">
        <v>2020</v>
      </c>
      <c r="M86" s="2" t="s">
        <v>48</v>
      </c>
      <c r="N86" s="2">
        <v>451213</v>
      </c>
      <c r="O86" s="2">
        <v>430178</v>
      </c>
      <c r="P86" s="2" t="s">
        <v>59</v>
      </c>
    </row>
    <row r="87" spans="1:16">
      <c r="A87">
        <v>2020</v>
      </c>
      <c r="B87" t="s">
        <v>40</v>
      </c>
      <c r="C87" t="s">
        <v>15</v>
      </c>
      <c r="D87" t="s">
        <v>17</v>
      </c>
      <c r="E87">
        <v>890</v>
      </c>
      <c r="F87">
        <v>8344</v>
      </c>
      <c r="G87">
        <v>8741</v>
      </c>
      <c r="H87">
        <v>1314</v>
      </c>
      <c r="I87" t="s">
        <v>12</v>
      </c>
      <c r="J87" s="21">
        <f ca="1">DATE(Table2[[#This Row],[Year]],MONTH(1 &amp; Table2[[#This Row],[Month]]),RANDBETWEEN(1,30))</f>
        <v>44018</v>
      </c>
      <c r="L87" s="2">
        <v>2022</v>
      </c>
      <c r="M87" s="2" t="s">
        <v>57</v>
      </c>
      <c r="N87" s="2">
        <v>323149</v>
      </c>
      <c r="O87" s="2">
        <v>554836</v>
      </c>
      <c r="P87" s="2" t="s">
        <v>49</v>
      </c>
    </row>
    <row r="88" spans="1:16">
      <c r="A88">
        <v>2020</v>
      </c>
      <c r="B88" t="s">
        <v>40</v>
      </c>
      <c r="C88" t="s">
        <v>23</v>
      </c>
      <c r="D88" t="s">
        <v>43</v>
      </c>
      <c r="E88">
        <v>843</v>
      </c>
      <c r="F88">
        <v>8448</v>
      </c>
      <c r="G88">
        <v>4981</v>
      </c>
      <c r="H88">
        <v>789</v>
      </c>
      <c r="I88" t="s">
        <v>28</v>
      </c>
      <c r="J88" s="21">
        <f ca="1">DATE(Table2[[#This Row],[Year]],MONTH(1 &amp; Table2[[#This Row],[Month]]),RANDBETWEEN(1,30))</f>
        <v>44016</v>
      </c>
      <c r="L88" s="2">
        <v>2023</v>
      </c>
      <c r="M88" s="2" t="s">
        <v>52</v>
      </c>
      <c r="N88" s="2">
        <v>483916</v>
      </c>
      <c r="O88" s="2">
        <v>691856</v>
      </c>
      <c r="P88" s="2" t="s">
        <v>53</v>
      </c>
    </row>
    <row r="89" spans="1:16">
      <c r="A89">
        <v>2020</v>
      </c>
      <c r="B89" t="s">
        <v>40</v>
      </c>
      <c r="C89" t="s">
        <v>15</v>
      </c>
      <c r="D89" t="s">
        <v>30</v>
      </c>
      <c r="E89">
        <v>273</v>
      </c>
      <c r="F89">
        <v>1375</v>
      </c>
      <c r="G89">
        <v>11635</v>
      </c>
      <c r="H89">
        <v>1571</v>
      </c>
      <c r="I89" t="s">
        <v>18</v>
      </c>
      <c r="J89" s="21">
        <f ca="1">DATE(Table2[[#This Row],[Year]],MONTH(1 &amp; Table2[[#This Row],[Month]]),RANDBETWEEN(1,30))</f>
        <v>44037</v>
      </c>
      <c r="L89" s="2">
        <v>2022</v>
      </c>
      <c r="M89" s="2" t="s">
        <v>60</v>
      </c>
      <c r="N89" s="2">
        <v>119478</v>
      </c>
      <c r="O89" s="2">
        <v>225088</v>
      </c>
      <c r="P89" s="2" t="s">
        <v>50</v>
      </c>
    </row>
    <row r="90" spans="1:16">
      <c r="A90">
        <v>2020</v>
      </c>
      <c r="B90" t="s">
        <v>40</v>
      </c>
      <c r="C90" t="s">
        <v>15</v>
      </c>
      <c r="D90" t="s">
        <v>16</v>
      </c>
      <c r="E90">
        <v>3268</v>
      </c>
      <c r="F90">
        <v>3972</v>
      </c>
      <c r="G90">
        <v>6963</v>
      </c>
      <c r="H90">
        <v>396</v>
      </c>
      <c r="I90" t="s">
        <v>18</v>
      </c>
      <c r="J90" s="21">
        <f ca="1">DATE(Table2[[#This Row],[Year]],MONTH(1 &amp; Table2[[#This Row],[Month]]),RANDBETWEEN(1,30))</f>
        <v>44032</v>
      </c>
      <c r="L90" s="2">
        <v>2020</v>
      </c>
      <c r="M90" s="2" t="s">
        <v>48</v>
      </c>
      <c r="N90" s="2">
        <v>139203</v>
      </c>
      <c r="O90" s="2">
        <v>248347</v>
      </c>
      <c r="P90" s="2" t="s">
        <v>50</v>
      </c>
    </row>
    <row r="91" spans="1:16">
      <c r="A91">
        <v>2020</v>
      </c>
      <c r="B91" t="s">
        <v>40</v>
      </c>
      <c r="C91" t="s">
        <v>15</v>
      </c>
      <c r="D91" t="s">
        <v>39</v>
      </c>
      <c r="E91">
        <v>519</v>
      </c>
      <c r="F91">
        <v>4281</v>
      </c>
      <c r="G91">
        <v>5725</v>
      </c>
      <c r="H91">
        <v>1840</v>
      </c>
      <c r="I91" t="s">
        <v>18</v>
      </c>
      <c r="J91" s="21">
        <f ca="1">DATE(Table2[[#This Row],[Year]],MONTH(1 &amp; Table2[[#This Row],[Month]]),RANDBETWEEN(1,30))</f>
        <v>44029</v>
      </c>
      <c r="L91" s="2">
        <v>2025</v>
      </c>
      <c r="M91" s="2" t="s">
        <v>54</v>
      </c>
      <c r="N91" s="2">
        <v>117626</v>
      </c>
      <c r="O91" s="2">
        <v>560228</v>
      </c>
      <c r="P91" s="2" t="s">
        <v>53</v>
      </c>
    </row>
    <row r="92" spans="1:16">
      <c r="A92">
        <v>2020</v>
      </c>
      <c r="B92" t="s">
        <v>40</v>
      </c>
      <c r="C92" t="s">
        <v>15</v>
      </c>
      <c r="D92" t="s">
        <v>35</v>
      </c>
      <c r="E92">
        <v>2444</v>
      </c>
      <c r="F92">
        <v>8599</v>
      </c>
      <c r="G92">
        <v>10802</v>
      </c>
      <c r="H92">
        <v>2503</v>
      </c>
      <c r="I92" t="s">
        <v>12</v>
      </c>
      <c r="J92" s="21">
        <f ca="1">DATE(Table2[[#This Row],[Year]],MONTH(1 &amp; Table2[[#This Row],[Month]]),RANDBETWEEN(1,30))</f>
        <v>44022</v>
      </c>
      <c r="L92" s="2">
        <v>2020</v>
      </c>
      <c r="M92" s="2" t="s">
        <v>57</v>
      </c>
      <c r="N92" s="2">
        <v>174111</v>
      </c>
      <c r="O92" s="2">
        <v>340913</v>
      </c>
      <c r="P92" s="2" t="s">
        <v>50</v>
      </c>
    </row>
    <row r="93" spans="1:16">
      <c r="A93">
        <v>2020</v>
      </c>
      <c r="B93" t="s">
        <v>40</v>
      </c>
      <c r="C93" t="s">
        <v>23</v>
      </c>
      <c r="D93" t="s">
        <v>30</v>
      </c>
      <c r="E93">
        <v>1790</v>
      </c>
      <c r="F93">
        <v>4126</v>
      </c>
      <c r="G93">
        <v>9419</v>
      </c>
      <c r="H93">
        <v>1206</v>
      </c>
      <c r="I93" t="s">
        <v>18</v>
      </c>
      <c r="J93" s="21">
        <f ca="1">DATE(Table2[[#This Row],[Year]],MONTH(1 &amp; Table2[[#This Row],[Month]]),RANDBETWEEN(1,30))</f>
        <v>44042</v>
      </c>
      <c r="L93" s="2">
        <v>2020</v>
      </c>
      <c r="M93" s="2" t="s">
        <v>56</v>
      </c>
      <c r="N93" s="2">
        <v>316508</v>
      </c>
      <c r="O93" s="2">
        <v>292151</v>
      </c>
      <c r="P93" s="2" t="s">
        <v>53</v>
      </c>
    </row>
    <row r="94" spans="1:16">
      <c r="A94">
        <v>2020</v>
      </c>
      <c r="B94" t="s">
        <v>40</v>
      </c>
      <c r="C94" t="s">
        <v>29</v>
      </c>
      <c r="D94" t="s">
        <v>22</v>
      </c>
      <c r="E94">
        <v>2015</v>
      </c>
      <c r="F94">
        <v>8159</v>
      </c>
      <c r="G94">
        <v>2143</v>
      </c>
      <c r="H94">
        <v>1438</v>
      </c>
      <c r="I94" t="s">
        <v>28</v>
      </c>
      <c r="J94" s="21">
        <f ca="1">DATE(Table2[[#This Row],[Year]],MONTH(1 &amp; Table2[[#This Row],[Month]]),RANDBETWEEN(1,30))</f>
        <v>44030</v>
      </c>
      <c r="L94" s="2">
        <v>2025</v>
      </c>
      <c r="M94" s="2" t="s">
        <v>58</v>
      </c>
      <c r="N94" s="2">
        <v>358229</v>
      </c>
      <c r="O94" s="2">
        <v>219681</v>
      </c>
      <c r="P94" s="2" t="s">
        <v>53</v>
      </c>
    </row>
    <row r="95" spans="1:16">
      <c r="A95">
        <v>2020</v>
      </c>
      <c r="B95" t="s">
        <v>40</v>
      </c>
      <c r="C95" t="s">
        <v>23</v>
      </c>
      <c r="D95" t="s">
        <v>23</v>
      </c>
      <c r="E95">
        <v>1625</v>
      </c>
      <c r="F95">
        <v>4771</v>
      </c>
      <c r="G95">
        <v>7569</v>
      </c>
      <c r="H95">
        <v>1758</v>
      </c>
      <c r="I95" t="s">
        <v>12</v>
      </c>
      <c r="J95" s="21">
        <f ca="1">DATE(Table2[[#This Row],[Year]],MONTH(1 &amp; Table2[[#This Row],[Month]]),RANDBETWEEN(1,30))</f>
        <v>44015</v>
      </c>
      <c r="L95" s="2">
        <v>2021</v>
      </c>
      <c r="M95" s="2" t="s">
        <v>48</v>
      </c>
      <c r="N95" s="2">
        <v>118234</v>
      </c>
      <c r="O95" s="2">
        <v>210923</v>
      </c>
      <c r="P95" s="2" t="s">
        <v>53</v>
      </c>
    </row>
    <row r="96" spans="1:16">
      <c r="A96">
        <v>2020</v>
      </c>
      <c r="B96" t="s">
        <v>40</v>
      </c>
      <c r="C96" t="s">
        <v>23</v>
      </c>
      <c r="D96" t="s">
        <v>11</v>
      </c>
      <c r="E96">
        <v>1004</v>
      </c>
      <c r="F96">
        <v>4956</v>
      </c>
      <c r="G96">
        <v>2001</v>
      </c>
      <c r="H96">
        <v>2713</v>
      </c>
      <c r="I96" t="s">
        <v>12</v>
      </c>
      <c r="J96" s="21">
        <f ca="1">DATE(Table2[[#This Row],[Year]],MONTH(1 &amp; Table2[[#This Row],[Month]]),RANDBETWEEN(1,30))</f>
        <v>44015</v>
      </c>
      <c r="L96" s="2">
        <v>2020</v>
      </c>
      <c r="M96" s="2" t="s">
        <v>60</v>
      </c>
      <c r="N96" s="2">
        <v>478388</v>
      </c>
      <c r="O96" s="2">
        <v>587243</v>
      </c>
      <c r="P96" s="2" t="s">
        <v>53</v>
      </c>
    </row>
    <row r="97" spans="1:16">
      <c r="A97">
        <v>2020</v>
      </c>
      <c r="B97" t="s">
        <v>40</v>
      </c>
      <c r="C97" t="s">
        <v>23</v>
      </c>
      <c r="D97" t="s">
        <v>17</v>
      </c>
      <c r="E97">
        <v>2800</v>
      </c>
      <c r="F97">
        <v>8503</v>
      </c>
      <c r="G97">
        <v>3565</v>
      </c>
      <c r="H97">
        <v>1472</v>
      </c>
      <c r="I97" t="s">
        <v>12</v>
      </c>
      <c r="J97" s="21">
        <f ca="1">DATE(Table2[[#This Row],[Year]],MONTH(1 &amp; Table2[[#This Row],[Month]]),RANDBETWEEN(1,30))</f>
        <v>44019</v>
      </c>
      <c r="L97" s="2">
        <v>2021</v>
      </c>
      <c r="M97" s="2" t="s">
        <v>48</v>
      </c>
      <c r="N97" s="2">
        <v>436866</v>
      </c>
      <c r="O97" s="2">
        <v>267217</v>
      </c>
      <c r="P97" s="2" t="s">
        <v>53</v>
      </c>
    </row>
    <row r="98" spans="1:16">
      <c r="A98">
        <v>2020</v>
      </c>
      <c r="B98" t="s">
        <v>31</v>
      </c>
      <c r="C98" t="s">
        <v>23</v>
      </c>
      <c r="D98" t="s">
        <v>17</v>
      </c>
      <c r="E98">
        <v>3745</v>
      </c>
      <c r="F98">
        <v>1394</v>
      </c>
      <c r="G98">
        <v>2690</v>
      </c>
      <c r="H98">
        <v>1288</v>
      </c>
      <c r="I98" t="s">
        <v>18</v>
      </c>
      <c r="J98" s="21">
        <f ca="1">DATE(Table2[[#This Row],[Year]],MONTH(1 &amp; Table2[[#This Row],[Month]]),RANDBETWEEN(1,30))</f>
        <v>44072</v>
      </c>
      <c r="L98" s="2">
        <v>2024</v>
      </c>
      <c r="M98" s="2" t="s">
        <v>60</v>
      </c>
      <c r="N98" s="2">
        <v>218645</v>
      </c>
      <c r="O98" s="2">
        <v>433860</v>
      </c>
      <c r="P98" s="2" t="s">
        <v>59</v>
      </c>
    </row>
    <row r="99" spans="1:16">
      <c r="A99">
        <v>2020</v>
      </c>
      <c r="B99" t="s">
        <v>31</v>
      </c>
      <c r="C99" t="s">
        <v>25</v>
      </c>
      <c r="D99" t="s">
        <v>16</v>
      </c>
      <c r="E99">
        <v>1826</v>
      </c>
      <c r="F99">
        <v>7261</v>
      </c>
      <c r="G99">
        <v>11262</v>
      </c>
      <c r="H99">
        <v>1161</v>
      </c>
      <c r="I99" t="s">
        <v>12</v>
      </c>
      <c r="J99" s="21">
        <f ca="1">DATE(Table2[[#This Row],[Year]],MONTH(1 &amp; Table2[[#This Row],[Month]]),RANDBETWEEN(1,30))</f>
        <v>44049</v>
      </c>
      <c r="L99" s="2">
        <v>2020</v>
      </c>
      <c r="M99" s="2" t="s">
        <v>51</v>
      </c>
      <c r="N99" s="2">
        <v>130875</v>
      </c>
      <c r="O99" s="2">
        <v>502948</v>
      </c>
      <c r="P99" s="2" t="s">
        <v>59</v>
      </c>
    </row>
    <row r="100" spans="1:16">
      <c r="A100">
        <v>2020</v>
      </c>
      <c r="B100" t="s">
        <v>31</v>
      </c>
      <c r="C100" t="s">
        <v>10</v>
      </c>
      <c r="D100" t="s">
        <v>35</v>
      </c>
      <c r="E100">
        <v>1595</v>
      </c>
      <c r="F100">
        <v>8253</v>
      </c>
      <c r="G100">
        <v>6764</v>
      </c>
      <c r="H100">
        <v>2159</v>
      </c>
      <c r="I100" t="s">
        <v>28</v>
      </c>
      <c r="J100" s="21">
        <f ca="1">DATE(Table2[[#This Row],[Year]],MONTH(1 &amp; Table2[[#This Row],[Month]]),RANDBETWEEN(1,30))</f>
        <v>44058</v>
      </c>
      <c r="L100" s="2">
        <v>2020</v>
      </c>
      <c r="M100" s="2" t="s">
        <v>57</v>
      </c>
      <c r="N100" s="2">
        <v>167955</v>
      </c>
      <c r="O100" s="2">
        <v>414176</v>
      </c>
      <c r="P100" s="2" t="s">
        <v>53</v>
      </c>
    </row>
    <row r="101" spans="1:16">
      <c r="A101">
        <v>2020</v>
      </c>
      <c r="B101" t="s">
        <v>31</v>
      </c>
      <c r="C101" t="s">
        <v>25</v>
      </c>
      <c r="D101" t="s">
        <v>20</v>
      </c>
      <c r="E101">
        <v>1560</v>
      </c>
      <c r="F101">
        <v>4869</v>
      </c>
      <c r="G101">
        <v>7357</v>
      </c>
      <c r="H101">
        <v>1689</v>
      </c>
      <c r="I101" t="s">
        <v>18</v>
      </c>
      <c r="J101" s="21">
        <f ca="1">DATE(Table2[[#This Row],[Year]],MONTH(1 &amp; Table2[[#This Row],[Month]]),RANDBETWEEN(1,30))</f>
        <v>44052</v>
      </c>
      <c r="L101" s="2">
        <v>2025</v>
      </c>
      <c r="M101" s="2" t="s">
        <v>56</v>
      </c>
      <c r="N101" s="2">
        <v>150778</v>
      </c>
      <c r="O101" s="2">
        <v>213553</v>
      </c>
      <c r="P101" s="2" t="s">
        <v>59</v>
      </c>
    </row>
    <row r="102" spans="1:16">
      <c r="A102">
        <v>2020</v>
      </c>
      <c r="B102" t="s">
        <v>31</v>
      </c>
      <c r="C102" t="s">
        <v>21</v>
      </c>
      <c r="D102" t="s">
        <v>11</v>
      </c>
      <c r="E102">
        <v>3130</v>
      </c>
      <c r="F102">
        <v>3806</v>
      </c>
      <c r="G102">
        <v>9486</v>
      </c>
      <c r="H102">
        <v>2992</v>
      </c>
      <c r="I102" t="s">
        <v>28</v>
      </c>
      <c r="J102" s="21">
        <f ca="1">DATE(Table2[[#This Row],[Year]],MONTH(1 &amp; Table2[[#This Row],[Month]]),RANDBETWEEN(1,30))</f>
        <v>44069</v>
      </c>
      <c r="L102" s="2">
        <v>2022</v>
      </c>
      <c r="M102" s="2" t="s">
        <v>57</v>
      </c>
      <c r="N102" s="2">
        <v>149314</v>
      </c>
      <c r="O102" s="2">
        <v>591751</v>
      </c>
      <c r="P102" s="2" t="s">
        <v>49</v>
      </c>
    </row>
    <row r="103" spans="1:16">
      <c r="A103">
        <v>2020</v>
      </c>
      <c r="B103" t="s">
        <v>31</v>
      </c>
      <c r="C103" t="s">
        <v>15</v>
      </c>
      <c r="D103" t="s">
        <v>37</v>
      </c>
      <c r="E103">
        <v>1820</v>
      </c>
      <c r="F103">
        <v>6406</v>
      </c>
      <c r="G103">
        <v>3856</v>
      </c>
      <c r="H103">
        <v>1811</v>
      </c>
      <c r="I103" t="s">
        <v>18</v>
      </c>
      <c r="J103" s="21">
        <f ca="1">DATE(Table2[[#This Row],[Year]],MONTH(1 &amp; Table2[[#This Row],[Month]]),RANDBETWEEN(1,30))</f>
        <v>44056</v>
      </c>
      <c r="L103" s="2">
        <v>2024</v>
      </c>
      <c r="M103" s="2" t="s">
        <v>48</v>
      </c>
      <c r="N103" s="2">
        <v>307425</v>
      </c>
      <c r="O103" s="2">
        <v>205257</v>
      </c>
      <c r="P103" s="2" t="s">
        <v>50</v>
      </c>
    </row>
    <row r="104" spans="1:16">
      <c r="A104">
        <v>2020</v>
      </c>
      <c r="B104" t="s">
        <v>31</v>
      </c>
      <c r="C104" t="s">
        <v>15</v>
      </c>
      <c r="D104" t="s">
        <v>43</v>
      </c>
      <c r="E104">
        <v>388</v>
      </c>
      <c r="F104">
        <v>1351</v>
      </c>
      <c r="G104">
        <v>2053</v>
      </c>
      <c r="H104">
        <v>1595</v>
      </c>
      <c r="I104" t="s">
        <v>18</v>
      </c>
      <c r="J104" s="21">
        <f ca="1">DATE(Table2[[#This Row],[Year]],MONTH(1 &amp; Table2[[#This Row],[Month]]),RANDBETWEEN(1,30))</f>
        <v>44070</v>
      </c>
      <c r="L104" s="2">
        <v>2023</v>
      </c>
      <c r="M104" s="2" t="s">
        <v>56</v>
      </c>
      <c r="N104" s="2">
        <v>198339</v>
      </c>
      <c r="O104" s="2">
        <v>580945</v>
      </c>
      <c r="P104" s="2" t="s">
        <v>49</v>
      </c>
    </row>
    <row r="105" spans="1:16">
      <c r="A105">
        <v>2020</v>
      </c>
      <c r="B105" t="s">
        <v>31</v>
      </c>
      <c r="C105" t="s">
        <v>15</v>
      </c>
      <c r="D105" t="s">
        <v>35</v>
      </c>
      <c r="E105">
        <v>1993</v>
      </c>
      <c r="F105">
        <v>1113</v>
      </c>
      <c r="G105">
        <v>6183</v>
      </c>
      <c r="H105">
        <v>707</v>
      </c>
      <c r="I105" t="s">
        <v>18</v>
      </c>
      <c r="J105" s="21">
        <f ca="1">DATE(Table2[[#This Row],[Year]],MONTH(1 &amp; Table2[[#This Row],[Month]]),RANDBETWEEN(1,30))</f>
        <v>44059</v>
      </c>
      <c r="L105" s="2">
        <v>2020</v>
      </c>
      <c r="M105" s="2" t="s">
        <v>52</v>
      </c>
      <c r="N105" s="2">
        <v>243256</v>
      </c>
      <c r="O105" s="2">
        <v>646652</v>
      </c>
      <c r="P105" s="2" t="s">
        <v>50</v>
      </c>
    </row>
    <row r="106" spans="1:16">
      <c r="A106">
        <v>2020</v>
      </c>
      <c r="B106" t="s">
        <v>31</v>
      </c>
      <c r="C106" t="s">
        <v>29</v>
      </c>
      <c r="D106" t="s">
        <v>42</v>
      </c>
      <c r="E106">
        <v>1630</v>
      </c>
      <c r="F106">
        <v>3156</v>
      </c>
      <c r="G106">
        <v>2685</v>
      </c>
      <c r="H106">
        <v>1818</v>
      </c>
      <c r="I106" t="s">
        <v>18</v>
      </c>
      <c r="J106" s="21">
        <f ca="1">DATE(Table2[[#This Row],[Year]],MONTH(1 &amp; Table2[[#This Row],[Month]]),RANDBETWEEN(1,30))</f>
        <v>44050</v>
      </c>
      <c r="L106" s="2">
        <v>2023</v>
      </c>
      <c r="M106" s="2" t="s">
        <v>51</v>
      </c>
      <c r="N106" s="2">
        <v>495802</v>
      </c>
      <c r="O106" s="2">
        <v>416420</v>
      </c>
      <c r="P106" s="2" t="s">
        <v>49</v>
      </c>
    </row>
    <row r="107" spans="1:16">
      <c r="A107">
        <v>2020</v>
      </c>
      <c r="B107" t="s">
        <v>31</v>
      </c>
      <c r="C107" t="s">
        <v>10</v>
      </c>
      <c r="D107" t="s">
        <v>35</v>
      </c>
      <c r="E107">
        <v>1711</v>
      </c>
      <c r="F107">
        <v>2658</v>
      </c>
      <c r="G107">
        <v>5068</v>
      </c>
      <c r="H107">
        <v>218</v>
      </c>
      <c r="I107" t="s">
        <v>18</v>
      </c>
      <c r="J107" s="21">
        <f ca="1">DATE(Table2[[#This Row],[Year]],MONTH(1 &amp; Table2[[#This Row],[Month]]),RANDBETWEEN(1,30))</f>
        <v>44059</v>
      </c>
      <c r="L107" s="2">
        <v>2025</v>
      </c>
      <c r="M107" s="2" t="s">
        <v>51</v>
      </c>
      <c r="N107" s="2">
        <v>373726</v>
      </c>
      <c r="O107" s="2">
        <v>467771</v>
      </c>
      <c r="P107" s="2" t="s">
        <v>50</v>
      </c>
    </row>
    <row r="108" spans="1:16">
      <c r="A108">
        <v>2020</v>
      </c>
      <c r="B108" t="s">
        <v>31</v>
      </c>
      <c r="C108" t="s">
        <v>15</v>
      </c>
      <c r="D108" t="s">
        <v>11</v>
      </c>
      <c r="E108">
        <v>3654</v>
      </c>
      <c r="F108">
        <v>5797</v>
      </c>
      <c r="G108">
        <v>6483</v>
      </c>
      <c r="H108">
        <v>263</v>
      </c>
      <c r="I108" t="s">
        <v>28</v>
      </c>
      <c r="J108" s="21">
        <f ca="1">DATE(Table2[[#This Row],[Year]],MONTH(1 &amp; Table2[[#This Row],[Month]]),RANDBETWEEN(1,30))</f>
        <v>44057</v>
      </c>
      <c r="L108" s="2">
        <v>2024</v>
      </c>
      <c r="M108" s="2" t="s">
        <v>48</v>
      </c>
      <c r="N108" s="2">
        <v>479592</v>
      </c>
      <c r="O108" s="2">
        <v>438492</v>
      </c>
      <c r="P108" s="2" t="s">
        <v>59</v>
      </c>
    </row>
    <row r="109" spans="1:16">
      <c r="A109">
        <v>2020</v>
      </c>
      <c r="B109" t="s">
        <v>31</v>
      </c>
      <c r="C109" t="s">
        <v>15</v>
      </c>
      <c r="D109" t="s">
        <v>35</v>
      </c>
      <c r="E109">
        <v>811</v>
      </c>
      <c r="F109">
        <v>3171</v>
      </c>
      <c r="G109">
        <v>2524</v>
      </c>
      <c r="H109">
        <v>1615</v>
      </c>
      <c r="I109" t="s">
        <v>12</v>
      </c>
      <c r="J109" s="21">
        <f ca="1">DATE(Table2[[#This Row],[Year]],MONTH(1 &amp; Table2[[#This Row],[Month]]),RANDBETWEEN(1,30))</f>
        <v>44058</v>
      </c>
      <c r="L109" s="2">
        <v>2025</v>
      </c>
      <c r="M109" s="2" t="s">
        <v>48</v>
      </c>
      <c r="N109" s="2">
        <v>157023</v>
      </c>
      <c r="O109" s="2">
        <v>394604</v>
      </c>
      <c r="P109" s="2" t="s">
        <v>53</v>
      </c>
    </row>
    <row r="110" spans="1:16">
      <c r="A110">
        <v>2020</v>
      </c>
      <c r="B110" t="s">
        <v>31</v>
      </c>
      <c r="C110" t="s">
        <v>15</v>
      </c>
      <c r="D110" t="s">
        <v>37</v>
      </c>
      <c r="E110">
        <v>3706</v>
      </c>
      <c r="F110">
        <v>2253</v>
      </c>
      <c r="G110">
        <v>2770</v>
      </c>
      <c r="H110">
        <v>2043</v>
      </c>
      <c r="I110" t="s">
        <v>28</v>
      </c>
      <c r="J110" s="21">
        <f ca="1">DATE(Table2[[#This Row],[Year]],MONTH(1 &amp; Table2[[#This Row],[Month]]),RANDBETWEEN(1,30))</f>
        <v>44052</v>
      </c>
      <c r="L110" s="2">
        <v>2021</v>
      </c>
      <c r="M110" s="2" t="s">
        <v>57</v>
      </c>
      <c r="N110" s="2">
        <v>252856</v>
      </c>
      <c r="O110" s="2">
        <v>643712</v>
      </c>
      <c r="P110" s="2" t="s">
        <v>49</v>
      </c>
    </row>
    <row r="111" spans="1:16">
      <c r="A111">
        <v>2020</v>
      </c>
      <c r="B111" t="s">
        <v>31</v>
      </c>
      <c r="C111" t="s">
        <v>15</v>
      </c>
      <c r="D111" t="s">
        <v>35</v>
      </c>
      <c r="E111">
        <v>3695</v>
      </c>
      <c r="F111">
        <v>3742</v>
      </c>
      <c r="G111">
        <v>8405</v>
      </c>
      <c r="H111">
        <v>2448</v>
      </c>
      <c r="I111" t="s">
        <v>18</v>
      </c>
      <c r="J111" s="21">
        <f ca="1">DATE(Table2[[#This Row],[Year]],MONTH(1 &amp; Table2[[#This Row],[Month]]),RANDBETWEEN(1,30))</f>
        <v>44062</v>
      </c>
      <c r="L111" s="2">
        <v>2023</v>
      </c>
      <c r="M111" s="2" t="s">
        <v>60</v>
      </c>
      <c r="N111" s="2">
        <v>321893</v>
      </c>
      <c r="O111" s="2">
        <v>646967</v>
      </c>
      <c r="P111" s="2" t="s">
        <v>53</v>
      </c>
    </row>
    <row r="112" spans="1:16">
      <c r="A112">
        <v>2020</v>
      </c>
      <c r="B112" t="s">
        <v>13</v>
      </c>
      <c r="C112" t="s">
        <v>10</v>
      </c>
      <c r="D112" t="s">
        <v>43</v>
      </c>
      <c r="E112">
        <v>2675</v>
      </c>
      <c r="F112">
        <v>4556</v>
      </c>
      <c r="G112">
        <v>5245</v>
      </c>
      <c r="H112">
        <v>2015</v>
      </c>
      <c r="I112" t="s">
        <v>18</v>
      </c>
      <c r="J112" s="21">
        <f ca="1">DATE(Table2[[#This Row],[Year]],MONTH(1 &amp; Table2[[#This Row],[Month]]),RANDBETWEEN(1,30))</f>
        <v>44085</v>
      </c>
      <c r="L112" s="2">
        <v>2023</v>
      </c>
      <c r="M112" s="2" t="s">
        <v>56</v>
      </c>
      <c r="N112" s="2">
        <v>130703</v>
      </c>
      <c r="O112" s="2">
        <v>367908</v>
      </c>
      <c r="P112" s="2" t="s">
        <v>59</v>
      </c>
    </row>
    <row r="113" spans="1:16">
      <c r="A113">
        <v>2020</v>
      </c>
      <c r="B113" t="s">
        <v>13</v>
      </c>
      <c r="C113" t="s">
        <v>23</v>
      </c>
      <c r="D113" t="s">
        <v>22</v>
      </c>
      <c r="E113">
        <v>3677</v>
      </c>
      <c r="F113">
        <v>9220</v>
      </c>
      <c r="G113">
        <v>3154</v>
      </c>
      <c r="H113">
        <v>200</v>
      </c>
      <c r="I113" t="s">
        <v>28</v>
      </c>
      <c r="J113" s="21">
        <f ca="1">DATE(Table2[[#This Row],[Year]],MONTH(1 &amp; Table2[[#This Row],[Month]]),RANDBETWEEN(1,30))</f>
        <v>44098</v>
      </c>
      <c r="L113" s="2">
        <v>2024</v>
      </c>
      <c r="M113" s="2" t="s">
        <v>60</v>
      </c>
      <c r="N113" s="2">
        <v>101675</v>
      </c>
      <c r="O113" s="2">
        <v>507535</v>
      </c>
      <c r="P113" s="2" t="s">
        <v>53</v>
      </c>
    </row>
    <row r="114" spans="1:16">
      <c r="A114">
        <v>2020</v>
      </c>
      <c r="B114" t="s">
        <v>13</v>
      </c>
      <c r="C114" t="s">
        <v>29</v>
      </c>
      <c r="D114" t="s">
        <v>30</v>
      </c>
      <c r="E114">
        <v>1297</v>
      </c>
      <c r="F114">
        <v>5866</v>
      </c>
      <c r="G114">
        <v>4476</v>
      </c>
      <c r="H114">
        <v>873</v>
      </c>
      <c r="I114" t="s">
        <v>12</v>
      </c>
      <c r="J114" s="21">
        <f ca="1">DATE(Table2[[#This Row],[Year]],MONTH(1 &amp; Table2[[#This Row],[Month]]),RANDBETWEEN(1,30))</f>
        <v>44097</v>
      </c>
      <c r="L114" s="2">
        <v>2025</v>
      </c>
      <c r="M114" s="2" t="s">
        <v>56</v>
      </c>
      <c r="N114" s="2">
        <v>368174</v>
      </c>
      <c r="O114" s="2">
        <v>663454</v>
      </c>
      <c r="P114" s="2" t="s">
        <v>53</v>
      </c>
    </row>
    <row r="115" spans="1:16">
      <c r="A115">
        <v>2020</v>
      </c>
      <c r="B115" t="s">
        <v>13</v>
      </c>
      <c r="C115" t="s">
        <v>15</v>
      </c>
      <c r="D115" t="s">
        <v>26</v>
      </c>
      <c r="E115">
        <v>3476</v>
      </c>
      <c r="F115">
        <v>6611</v>
      </c>
      <c r="G115">
        <v>8924</v>
      </c>
      <c r="H115">
        <v>1362</v>
      </c>
      <c r="I115" t="s">
        <v>18</v>
      </c>
      <c r="J115" s="21">
        <f ca="1">DATE(Table2[[#This Row],[Year]],MONTH(1 &amp; Table2[[#This Row],[Month]]),RANDBETWEEN(1,30))</f>
        <v>44078</v>
      </c>
      <c r="L115" s="2">
        <v>2025</v>
      </c>
      <c r="M115" s="2" t="s">
        <v>60</v>
      </c>
      <c r="N115" s="2">
        <v>356728</v>
      </c>
      <c r="O115" s="2">
        <v>681029</v>
      </c>
      <c r="P115" s="2" t="s">
        <v>59</v>
      </c>
    </row>
    <row r="116" spans="1:16">
      <c r="A116">
        <v>2020</v>
      </c>
      <c r="B116" t="s">
        <v>13</v>
      </c>
      <c r="C116" t="s">
        <v>10</v>
      </c>
      <c r="D116" t="s">
        <v>39</v>
      </c>
      <c r="E116">
        <v>383</v>
      </c>
      <c r="F116">
        <v>4260</v>
      </c>
      <c r="G116">
        <v>9588</v>
      </c>
      <c r="H116">
        <v>1415</v>
      </c>
      <c r="I116" t="s">
        <v>28</v>
      </c>
      <c r="J116" s="21">
        <f ca="1">DATE(Table2[[#This Row],[Year]],MONTH(1 &amp; Table2[[#This Row],[Month]]),RANDBETWEEN(1,30))</f>
        <v>44098</v>
      </c>
      <c r="L116" s="2">
        <v>2024</v>
      </c>
      <c r="M116" s="2" t="s">
        <v>57</v>
      </c>
      <c r="N116" s="2">
        <v>264316</v>
      </c>
      <c r="O116" s="2">
        <v>454480</v>
      </c>
      <c r="P116" s="2" t="s">
        <v>59</v>
      </c>
    </row>
    <row r="117" spans="1:16">
      <c r="A117">
        <v>2020</v>
      </c>
      <c r="B117" t="s">
        <v>13</v>
      </c>
      <c r="C117" t="s">
        <v>10</v>
      </c>
      <c r="D117" t="s">
        <v>43</v>
      </c>
      <c r="E117">
        <v>477</v>
      </c>
      <c r="F117">
        <v>1112</v>
      </c>
      <c r="G117">
        <v>9327</v>
      </c>
      <c r="H117">
        <v>2085</v>
      </c>
      <c r="I117" t="s">
        <v>18</v>
      </c>
      <c r="J117" s="21">
        <f ca="1">DATE(Table2[[#This Row],[Year]],MONTH(1 &amp; Table2[[#This Row],[Month]]),RANDBETWEEN(1,30))</f>
        <v>44092</v>
      </c>
      <c r="L117" s="2">
        <v>2025</v>
      </c>
      <c r="M117" s="2" t="s">
        <v>48</v>
      </c>
      <c r="N117" s="2">
        <v>295858</v>
      </c>
      <c r="O117" s="2">
        <v>426412</v>
      </c>
      <c r="P117" s="2" t="s">
        <v>59</v>
      </c>
    </row>
    <row r="118" spans="1:16">
      <c r="A118">
        <v>2020</v>
      </c>
      <c r="B118" t="s">
        <v>13</v>
      </c>
      <c r="C118" t="s">
        <v>10</v>
      </c>
      <c r="D118" t="s">
        <v>37</v>
      </c>
      <c r="E118">
        <v>3813</v>
      </c>
      <c r="F118">
        <v>4551</v>
      </c>
      <c r="G118">
        <v>2020</v>
      </c>
      <c r="H118">
        <v>1338</v>
      </c>
      <c r="I118" t="s">
        <v>18</v>
      </c>
      <c r="J118" s="21">
        <f ca="1">DATE(Table2[[#This Row],[Year]],MONTH(1 &amp; Table2[[#This Row],[Month]]),RANDBETWEEN(1,30))</f>
        <v>44097</v>
      </c>
      <c r="L118" s="2">
        <v>2020</v>
      </c>
      <c r="M118" s="2" t="s">
        <v>52</v>
      </c>
      <c r="N118" s="2">
        <v>266177</v>
      </c>
      <c r="O118" s="2">
        <v>339347</v>
      </c>
      <c r="P118" s="2" t="s">
        <v>50</v>
      </c>
    </row>
    <row r="119" spans="1:16">
      <c r="A119">
        <v>2020</v>
      </c>
      <c r="B119" t="s">
        <v>13</v>
      </c>
      <c r="C119" t="s">
        <v>25</v>
      </c>
      <c r="D119" t="s">
        <v>42</v>
      </c>
      <c r="E119">
        <v>1846</v>
      </c>
      <c r="F119">
        <v>1906</v>
      </c>
      <c r="G119">
        <v>8568</v>
      </c>
      <c r="H119">
        <v>848</v>
      </c>
      <c r="I119" t="s">
        <v>12</v>
      </c>
      <c r="J119" s="21">
        <f ca="1">DATE(Table2[[#This Row],[Year]],MONTH(1 &amp; Table2[[#This Row],[Month]]),RANDBETWEEN(1,30))</f>
        <v>44079</v>
      </c>
      <c r="L119" s="2">
        <v>2023</v>
      </c>
      <c r="M119" s="2" t="s">
        <v>60</v>
      </c>
      <c r="N119" s="2">
        <v>109602</v>
      </c>
      <c r="O119" s="2">
        <v>679436</v>
      </c>
      <c r="P119" s="2" t="s">
        <v>59</v>
      </c>
    </row>
    <row r="120" spans="1:16">
      <c r="A120">
        <v>2020</v>
      </c>
      <c r="B120" t="s">
        <v>13</v>
      </c>
      <c r="C120" t="s">
        <v>23</v>
      </c>
      <c r="D120" t="s">
        <v>38</v>
      </c>
      <c r="E120">
        <v>3492</v>
      </c>
      <c r="F120">
        <v>5689</v>
      </c>
      <c r="G120">
        <v>10459</v>
      </c>
      <c r="H120">
        <v>793</v>
      </c>
      <c r="I120" t="s">
        <v>28</v>
      </c>
      <c r="J120" s="21">
        <f ca="1">DATE(Table2[[#This Row],[Year]],MONTH(1 &amp; Table2[[#This Row],[Month]]),RANDBETWEEN(1,30))</f>
        <v>44103</v>
      </c>
      <c r="L120" s="2">
        <v>2020</v>
      </c>
      <c r="M120" s="2" t="s">
        <v>54</v>
      </c>
      <c r="N120" s="2">
        <v>234149</v>
      </c>
      <c r="O120" s="2">
        <v>271407</v>
      </c>
      <c r="P120" s="2" t="s">
        <v>50</v>
      </c>
    </row>
    <row r="121" spans="1:16">
      <c r="A121">
        <v>2020</v>
      </c>
      <c r="B121" t="s">
        <v>13</v>
      </c>
      <c r="C121" t="s">
        <v>25</v>
      </c>
      <c r="D121" t="s">
        <v>37</v>
      </c>
      <c r="E121">
        <v>1396</v>
      </c>
      <c r="F121">
        <v>3743</v>
      </c>
      <c r="G121">
        <v>10775</v>
      </c>
      <c r="H121">
        <v>928</v>
      </c>
      <c r="I121" t="s">
        <v>18</v>
      </c>
      <c r="J121" s="21">
        <f ca="1">DATE(Table2[[#This Row],[Year]],MONTH(1 &amp; Table2[[#This Row],[Month]]),RANDBETWEEN(1,30))</f>
        <v>44093</v>
      </c>
      <c r="L121" s="2">
        <v>2024</v>
      </c>
      <c r="M121" s="2" t="s">
        <v>51</v>
      </c>
      <c r="N121" s="2">
        <v>170833</v>
      </c>
      <c r="O121" s="2">
        <v>489915</v>
      </c>
      <c r="P121" s="2" t="s">
        <v>59</v>
      </c>
    </row>
    <row r="122" spans="1:16">
      <c r="A122">
        <v>2020</v>
      </c>
      <c r="B122" t="s">
        <v>13</v>
      </c>
      <c r="C122" t="s">
        <v>29</v>
      </c>
      <c r="D122" t="s">
        <v>34</v>
      </c>
      <c r="E122">
        <v>3128</v>
      </c>
      <c r="F122">
        <v>3309</v>
      </c>
      <c r="G122">
        <v>9542</v>
      </c>
      <c r="H122">
        <v>2555</v>
      </c>
      <c r="I122" t="s">
        <v>18</v>
      </c>
      <c r="J122" s="21">
        <f ca="1">DATE(Table2[[#This Row],[Year]],MONTH(1 &amp; Table2[[#This Row],[Month]]),RANDBETWEEN(1,30))</f>
        <v>44084</v>
      </c>
      <c r="L122" s="2">
        <v>2021</v>
      </c>
      <c r="M122" s="2" t="s">
        <v>56</v>
      </c>
      <c r="N122" s="2">
        <v>139370</v>
      </c>
      <c r="O122" s="2">
        <v>341275</v>
      </c>
      <c r="P122" s="2" t="s">
        <v>50</v>
      </c>
    </row>
    <row r="123" spans="1:16">
      <c r="A123">
        <v>2020</v>
      </c>
      <c r="B123" t="s">
        <v>13</v>
      </c>
      <c r="C123" t="s">
        <v>23</v>
      </c>
      <c r="D123" t="s">
        <v>11</v>
      </c>
      <c r="E123">
        <v>3373</v>
      </c>
      <c r="F123">
        <v>6586</v>
      </c>
      <c r="G123">
        <v>11391</v>
      </c>
      <c r="H123">
        <v>2047</v>
      </c>
      <c r="I123" t="s">
        <v>18</v>
      </c>
      <c r="J123" s="21">
        <f ca="1">DATE(Table2[[#This Row],[Year]],MONTH(1 &amp; Table2[[#This Row],[Month]]),RANDBETWEEN(1,30))</f>
        <v>44084</v>
      </c>
      <c r="L123" s="2">
        <v>2025</v>
      </c>
      <c r="M123" s="2" t="s">
        <v>61</v>
      </c>
      <c r="N123" s="2">
        <v>482688</v>
      </c>
      <c r="O123" s="2">
        <v>339504</v>
      </c>
      <c r="P123" s="2" t="s">
        <v>53</v>
      </c>
    </row>
    <row r="124" spans="1:16">
      <c r="A124">
        <v>2020</v>
      </c>
      <c r="B124" t="s">
        <v>13</v>
      </c>
      <c r="C124" t="s">
        <v>23</v>
      </c>
      <c r="D124" t="s">
        <v>42</v>
      </c>
      <c r="E124">
        <v>2081</v>
      </c>
      <c r="F124">
        <v>9820</v>
      </c>
      <c r="G124">
        <v>9474</v>
      </c>
      <c r="H124">
        <v>2301</v>
      </c>
      <c r="I124" t="s">
        <v>18</v>
      </c>
      <c r="J124" s="21">
        <f ca="1">DATE(Table2[[#This Row],[Year]],MONTH(1 &amp; Table2[[#This Row],[Month]]),RANDBETWEEN(1,30))</f>
        <v>44104</v>
      </c>
      <c r="L124" s="2">
        <v>2020</v>
      </c>
      <c r="M124" s="2" t="s">
        <v>61</v>
      </c>
      <c r="N124" s="2">
        <v>339744</v>
      </c>
      <c r="O124" s="2">
        <v>402484</v>
      </c>
      <c r="P124" s="2" t="s">
        <v>50</v>
      </c>
    </row>
    <row r="125" spans="1:16">
      <c r="A125">
        <v>2020</v>
      </c>
      <c r="B125" t="s">
        <v>13</v>
      </c>
      <c r="C125" t="s">
        <v>23</v>
      </c>
      <c r="D125" t="s">
        <v>22</v>
      </c>
      <c r="E125">
        <v>846</v>
      </c>
      <c r="F125">
        <v>1389</v>
      </c>
      <c r="G125">
        <v>7297</v>
      </c>
      <c r="H125">
        <v>2550</v>
      </c>
      <c r="I125" t="s">
        <v>28</v>
      </c>
      <c r="J125" s="21">
        <f ca="1">DATE(Table2[[#This Row],[Year]],MONTH(1 &amp; Table2[[#This Row],[Month]]),RANDBETWEEN(1,30))</f>
        <v>44098</v>
      </c>
      <c r="L125" s="2">
        <v>2025</v>
      </c>
      <c r="M125" s="2" t="s">
        <v>52</v>
      </c>
      <c r="N125" s="2">
        <v>391463</v>
      </c>
      <c r="O125" s="2">
        <v>699396</v>
      </c>
      <c r="P125" s="2" t="s">
        <v>59</v>
      </c>
    </row>
    <row r="126" spans="1:16">
      <c r="A126">
        <v>2020</v>
      </c>
      <c r="B126" t="s">
        <v>24</v>
      </c>
      <c r="C126" t="s">
        <v>15</v>
      </c>
      <c r="D126" t="s">
        <v>16</v>
      </c>
      <c r="E126">
        <v>2430</v>
      </c>
      <c r="F126">
        <v>1513</v>
      </c>
      <c r="G126">
        <v>6252</v>
      </c>
      <c r="H126">
        <v>683</v>
      </c>
      <c r="I126" t="s">
        <v>18</v>
      </c>
      <c r="J126" s="21">
        <f ca="1">DATE(Table2[[#This Row],[Year]],MONTH(1 &amp; Table2[[#This Row],[Month]]),RANDBETWEEN(1,30))</f>
        <v>44109</v>
      </c>
      <c r="L126" s="2">
        <v>2023</v>
      </c>
      <c r="M126" s="2" t="s">
        <v>57</v>
      </c>
      <c r="N126" s="2">
        <v>226145</v>
      </c>
      <c r="O126" s="2">
        <v>227483</v>
      </c>
      <c r="P126" s="2" t="s">
        <v>59</v>
      </c>
    </row>
    <row r="127" spans="1:16">
      <c r="A127">
        <v>2020</v>
      </c>
      <c r="B127" t="s">
        <v>24</v>
      </c>
      <c r="C127" t="s">
        <v>15</v>
      </c>
      <c r="D127" t="s">
        <v>38</v>
      </c>
      <c r="E127">
        <v>2817</v>
      </c>
      <c r="F127">
        <v>2283</v>
      </c>
      <c r="G127">
        <v>7418</v>
      </c>
      <c r="H127">
        <v>2245</v>
      </c>
      <c r="I127" t="s">
        <v>18</v>
      </c>
      <c r="J127" s="21">
        <f ca="1">DATE(Table2[[#This Row],[Year]],MONTH(1 &amp; Table2[[#This Row],[Month]]),RANDBETWEEN(1,30))</f>
        <v>44117</v>
      </c>
      <c r="L127" s="2">
        <v>2025</v>
      </c>
      <c r="M127" s="2" t="s">
        <v>60</v>
      </c>
      <c r="N127" s="2">
        <v>257259</v>
      </c>
      <c r="O127" s="2">
        <v>489271</v>
      </c>
      <c r="P127" s="2" t="s">
        <v>59</v>
      </c>
    </row>
    <row r="128" spans="1:16">
      <c r="A128">
        <v>2020</v>
      </c>
      <c r="B128" t="s">
        <v>24</v>
      </c>
      <c r="C128" t="s">
        <v>10</v>
      </c>
      <c r="D128" t="s">
        <v>20</v>
      </c>
      <c r="E128">
        <v>326</v>
      </c>
      <c r="F128">
        <v>5048</v>
      </c>
      <c r="G128">
        <v>11660</v>
      </c>
      <c r="H128">
        <v>918</v>
      </c>
      <c r="I128" t="s">
        <v>18</v>
      </c>
      <c r="J128" s="21">
        <f ca="1">DATE(Table2[[#This Row],[Year]],MONTH(1 &amp; Table2[[#This Row],[Month]]),RANDBETWEEN(1,30))</f>
        <v>44111</v>
      </c>
      <c r="L128" s="2">
        <v>2024</v>
      </c>
      <c r="M128" s="2" t="s">
        <v>51</v>
      </c>
      <c r="N128" s="2">
        <v>194770</v>
      </c>
      <c r="O128" s="2">
        <v>241286</v>
      </c>
      <c r="P128" s="2" t="s">
        <v>49</v>
      </c>
    </row>
    <row r="129" spans="1:16">
      <c r="A129">
        <v>2020</v>
      </c>
      <c r="B129" t="s">
        <v>24</v>
      </c>
      <c r="C129" t="s">
        <v>10</v>
      </c>
      <c r="D129" t="s">
        <v>34</v>
      </c>
      <c r="E129">
        <v>3792</v>
      </c>
      <c r="F129">
        <v>9791</v>
      </c>
      <c r="G129">
        <v>2926</v>
      </c>
      <c r="H129">
        <v>1802</v>
      </c>
      <c r="I129" t="s">
        <v>12</v>
      </c>
      <c r="J129" s="21">
        <f ca="1">DATE(Table2[[#This Row],[Year]],MONTH(1 &amp; Table2[[#This Row],[Month]]),RANDBETWEEN(1,30))</f>
        <v>44111</v>
      </c>
      <c r="L129" s="2">
        <v>2025</v>
      </c>
      <c r="M129" s="2" t="s">
        <v>58</v>
      </c>
      <c r="N129" s="2">
        <v>138786</v>
      </c>
      <c r="O129" s="2">
        <v>277260</v>
      </c>
      <c r="P129" s="2" t="s">
        <v>49</v>
      </c>
    </row>
    <row r="130" spans="1:16">
      <c r="A130">
        <v>2020</v>
      </c>
      <c r="B130" t="s">
        <v>24</v>
      </c>
      <c r="C130" t="s">
        <v>10</v>
      </c>
      <c r="D130" t="s">
        <v>11</v>
      </c>
      <c r="E130">
        <v>1416</v>
      </c>
      <c r="F130">
        <v>4241</v>
      </c>
      <c r="G130">
        <v>11477</v>
      </c>
      <c r="H130">
        <v>1245</v>
      </c>
      <c r="I130" t="s">
        <v>18</v>
      </c>
      <c r="J130" s="21">
        <f ca="1">DATE(Table2[[#This Row],[Year]],MONTH(1 &amp; Table2[[#This Row],[Month]]),RANDBETWEEN(1,30))</f>
        <v>44129</v>
      </c>
      <c r="L130" s="2">
        <v>2022</v>
      </c>
      <c r="M130" s="2" t="s">
        <v>52</v>
      </c>
      <c r="N130" s="2">
        <v>171613</v>
      </c>
      <c r="O130" s="2">
        <v>419781</v>
      </c>
      <c r="P130" s="2" t="s">
        <v>53</v>
      </c>
    </row>
    <row r="131" spans="1:16">
      <c r="A131">
        <v>2020</v>
      </c>
      <c r="B131" t="s">
        <v>24</v>
      </c>
      <c r="C131" t="s">
        <v>15</v>
      </c>
      <c r="D131" t="s">
        <v>35</v>
      </c>
      <c r="E131">
        <v>2795</v>
      </c>
      <c r="F131">
        <v>2265</v>
      </c>
      <c r="G131">
        <v>8567</v>
      </c>
      <c r="H131">
        <v>1840</v>
      </c>
      <c r="I131" t="s">
        <v>12</v>
      </c>
      <c r="J131" s="21">
        <f ca="1">DATE(Table2[[#This Row],[Year]],MONTH(1 &amp; Table2[[#This Row],[Month]]),RANDBETWEEN(1,30))</f>
        <v>44115</v>
      </c>
      <c r="L131" s="2">
        <v>2021</v>
      </c>
      <c r="M131" s="2" t="s">
        <v>51</v>
      </c>
      <c r="N131" s="2">
        <v>419006</v>
      </c>
      <c r="O131" s="2">
        <v>455230</v>
      </c>
      <c r="P131" s="2" t="s">
        <v>49</v>
      </c>
    </row>
    <row r="132" spans="1:16">
      <c r="A132">
        <v>2020</v>
      </c>
      <c r="B132" t="s">
        <v>24</v>
      </c>
      <c r="C132" t="s">
        <v>25</v>
      </c>
      <c r="D132" t="s">
        <v>38</v>
      </c>
      <c r="E132">
        <v>1725</v>
      </c>
      <c r="F132">
        <v>7505</v>
      </c>
      <c r="G132">
        <v>3025</v>
      </c>
      <c r="H132">
        <v>2038</v>
      </c>
      <c r="I132" t="s">
        <v>18</v>
      </c>
      <c r="J132" s="21">
        <f ca="1">DATE(Table2[[#This Row],[Year]],MONTH(1 &amp; Table2[[#This Row],[Month]]),RANDBETWEEN(1,30))</f>
        <v>44132</v>
      </c>
      <c r="L132" s="2">
        <v>2025</v>
      </c>
      <c r="M132" s="2" t="s">
        <v>51</v>
      </c>
      <c r="N132" s="2">
        <v>371018</v>
      </c>
      <c r="O132" s="2">
        <v>329396</v>
      </c>
      <c r="P132" s="2" t="s">
        <v>49</v>
      </c>
    </row>
    <row r="133" spans="1:16">
      <c r="A133">
        <v>2020</v>
      </c>
      <c r="B133" t="s">
        <v>24</v>
      </c>
      <c r="C133" t="s">
        <v>29</v>
      </c>
      <c r="D133" t="s">
        <v>11</v>
      </c>
      <c r="E133">
        <v>2108</v>
      </c>
      <c r="F133">
        <v>3982</v>
      </c>
      <c r="G133">
        <v>5538</v>
      </c>
      <c r="H133">
        <v>1897</v>
      </c>
      <c r="I133" t="s">
        <v>12</v>
      </c>
      <c r="J133" s="21">
        <f ca="1">DATE(Table2[[#This Row],[Year]],MONTH(1 &amp; Table2[[#This Row],[Month]]),RANDBETWEEN(1,30))</f>
        <v>44131</v>
      </c>
      <c r="L133" s="2">
        <v>2025</v>
      </c>
      <c r="M133" s="2" t="s">
        <v>48</v>
      </c>
      <c r="N133" s="2">
        <v>318772</v>
      </c>
      <c r="O133" s="2">
        <v>358229</v>
      </c>
      <c r="P133" s="2" t="s">
        <v>49</v>
      </c>
    </row>
    <row r="134" spans="1:16">
      <c r="A134">
        <v>2020</v>
      </c>
      <c r="B134" t="s">
        <v>32</v>
      </c>
      <c r="C134" t="s">
        <v>21</v>
      </c>
      <c r="D134" t="s">
        <v>16</v>
      </c>
      <c r="E134">
        <v>2087</v>
      </c>
      <c r="F134">
        <v>5892</v>
      </c>
      <c r="G134">
        <v>5693</v>
      </c>
      <c r="H134">
        <v>2201</v>
      </c>
      <c r="I134" t="s">
        <v>18</v>
      </c>
      <c r="J134" s="21">
        <f ca="1">DATE(Table2[[#This Row],[Year]],MONTH(1 &amp; Table2[[#This Row],[Month]]),RANDBETWEEN(1,30))</f>
        <v>44156</v>
      </c>
      <c r="L134" s="2">
        <v>2024</v>
      </c>
      <c r="M134" s="2" t="s">
        <v>61</v>
      </c>
      <c r="N134" s="2">
        <v>290036</v>
      </c>
      <c r="O134" s="2">
        <v>243484</v>
      </c>
      <c r="P134" s="2" t="s">
        <v>50</v>
      </c>
    </row>
    <row r="135" spans="1:16">
      <c r="A135">
        <v>2020</v>
      </c>
      <c r="B135" t="s">
        <v>32</v>
      </c>
      <c r="C135" t="s">
        <v>23</v>
      </c>
      <c r="D135" t="s">
        <v>30</v>
      </c>
      <c r="E135">
        <v>3189</v>
      </c>
      <c r="F135">
        <v>5018</v>
      </c>
      <c r="G135">
        <v>5336</v>
      </c>
      <c r="H135">
        <v>1115</v>
      </c>
      <c r="I135" t="s">
        <v>12</v>
      </c>
      <c r="J135" s="21">
        <f ca="1">DATE(Table2[[#This Row],[Year]],MONTH(1 &amp; Table2[[#This Row],[Month]]),RANDBETWEEN(1,30))</f>
        <v>44165</v>
      </c>
      <c r="L135" s="2">
        <v>2025</v>
      </c>
      <c r="M135" s="2" t="s">
        <v>58</v>
      </c>
      <c r="N135" s="2">
        <v>468974</v>
      </c>
      <c r="O135" s="2">
        <v>351610</v>
      </c>
      <c r="P135" s="2" t="s">
        <v>50</v>
      </c>
    </row>
    <row r="136" spans="1:16">
      <c r="A136">
        <v>2020</v>
      </c>
      <c r="B136" t="s">
        <v>32</v>
      </c>
      <c r="C136" t="s">
        <v>21</v>
      </c>
      <c r="D136" t="s">
        <v>39</v>
      </c>
      <c r="E136">
        <v>284</v>
      </c>
      <c r="F136">
        <v>6525</v>
      </c>
      <c r="G136">
        <v>6136</v>
      </c>
      <c r="H136">
        <v>2335</v>
      </c>
      <c r="I136" t="s">
        <v>28</v>
      </c>
      <c r="J136" s="21">
        <f ca="1">DATE(Table2[[#This Row],[Year]],MONTH(1 &amp; Table2[[#This Row],[Month]]),RANDBETWEEN(1,30))</f>
        <v>44147</v>
      </c>
      <c r="L136" s="2">
        <v>2024</v>
      </c>
      <c r="M136" s="2" t="s">
        <v>60</v>
      </c>
      <c r="N136" s="2">
        <v>129094</v>
      </c>
      <c r="O136" s="2">
        <v>683279</v>
      </c>
      <c r="P136" s="2" t="s">
        <v>59</v>
      </c>
    </row>
    <row r="137" spans="1:16">
      <c r="A137">
        <v>2020</v>
      </c>
      <c r="B137" t="s">
        <v>32</v>
      </c>
      <c r="C137" t="s">
        <v>29</v>
      </c>
      <c r="D137" t="s">
        <v>43</v>
      </c>
      <c r="E137">
        <v>3952</v>
      </c>
      <c r="F137">
        <v>1999</v>
      </c>
      <c r="G137">
        <v>3885</v>
      </c>
      <c r="H137">
        <v>1579</v>
      </c>
      <c r="I137" t="s">
        <v>18</v>
      </c>
      <c r="J137" s="21">
        <f ca="1">DATE(Table2[[#This Row],[Year]],MONTH(1 &amp; Table2[[#This Row],[Month]]),RANDBETWEEN(1,30))</f>
        <v>44158</v>
      </c>
      <c r="L137" s="2">
        <v>2020</v>
      </c>
      <c r="M137" s="2" t="s">
        <v>56</v>
      </c>
      <c r="N137" s="2">
        <v>212240</v>
      </c>
      <c r="O137" s="2">
        <v>672354</v>
      </c>
      <c r="P137" s="2" t="s">
        <v>53</v>
      </c>
    </row>
    <row r="138" spans="1:16">
      <c r="A138">
        <v>2020</v>
      </c>
      <c r="B138" t="s">
        <v>32</v>
      </c>
      <c r="C138" t="s">
        <v>21</v>
      </c>
      <c r="D138" t="s">
        <v>26</v>
      </c>
      <c r="E138">
        <v>2296</v>
      </c>
      <c r="F138">
        <v>1279</v>
      </c>
      <c r="G138">
        <v>10045</v>
      </c>
      <c r="H138">
        <v>2130</v>
      </c>
      <c r="I138" t="s">
        <v>28</v>
      </c>
      <c r="J138" s="21">
        <f ca="1">DATE(Table2[[#This Row],[Year]],MONTH(1 &amp; Table2[[#This Row],[Month]]),RANDBETWEEN(1,30))</f>
        <v>44152</v>
      </c>
      <c r="L138" s="2">
        <v>2024</v>
      </c>
      <c r="M138" s="2" t="s">
        <v>54</v>
      </c>
      <c r="N138" s="2">
        <v>239975</v>
      </c>
      <c r="O138" s="2">
        <v>367439</v>
      </c>
      <c r="P138" s="2" t="s">
        <v>49</v>
      </c>
    </row>
    <row r="139" spans="1:16">
      <c r="A139">
        <v>2020</v>
      </c>
      <c r="B139" t="s">
        <v>32</v>
      </c>
      <c r="C139" t="s">
        <v>15</v>
      </c>
      <c r="D139" t="s">
        <v>23</v>
      </c>
      <c r="E139">
        <v>2522</v>
      </c>
      <c r="F139">
        <v>4257</v>
      </c>
      <c r="G139">
        <v>4892</v>
      </c>
      <c r="H139">
        <v>853</v>
      </c>
      <c r="I139" t="s">
        <v>12</v>
      </c>
      <c r="J139" s="21">
        <f ca="1">DATE(Table2[[#This Row],[Year]],MONTH(1 &amp; Table2[[#This Row],[Month]]),RANDBETWEEN(1,30))</f>
        <v>44145</v>
      </c>
      <c r="L139" s="2">
        <v>2023</v>
      </c>
      <c r="M139" s="2" t="s">
        <v>52</v>
      </c>
      <c r="N139" s="2">
        <v>412970</v>
      </c>
      <c r="O139" s="2">
        <v>485427</v>
      </c>
      <c r="P139" s="2" t="s">
        <v>59</v>
      </c>
    </row>
    <row r="140" spans="1:16">
      <c r="A140">
        <v>2020</v>
      </c>
      <c r="B140" t="s">
        <v>32</v>
      </c>
      <c r="C140" t="s">
        <v>29</v>
      </c>
      <c r="D140" t="s">
        <v>34</v>
      </c>
      <c r="E140">
        <v>3585</v>
      </c>
      <c r="F140">
        <v>1564</v>
      </c>
      <c r="G140">
        <v>2015</v>
      </c>
      <c r="H140">
        <v>1482</v>
      </c>
      <c r="I140" t="s">
        <v>18</v>
      </c>
      <c r="J140" s="21">
        <f ca="1">DATE(Table2[[#This Row],[Year]],MONTH(1 &amp; Table2[[#This Row],[Month]]),RANDBETWEEN(1,30))</f>
        <v>44137</v>
      </c>
      <c r="L140" s="2">
        <v>2021</v>
      </c>
      <c r="M140" s="2" t="s">
        <v>54</v>
      </c>
      <c r="N140" s="2">
        <v>497006</v>
      </c>
      <c r="O140" s="2">
        <v>654798</v>
      </c>
      <c r="P140" s="2" t="s">
        <v>59</v>
      </c>
    </row>
    <row r="141" spans="1:16">
      <c r="A141">
        <v>2020</v>
      </c>
      <c r="B141" t="s">
        <v>32</v>
      </c>
      <c r="C141" t="s">
        <v>29</v>
      </c>
      <c r="D141" t="s">
        <v>39</v>
      </c>
      <c r="E141">
        <v>1907</v>
      </c>
      <c r="F141">
        <v>1552</v>
      </c>
      <c r="G141">
        <v>2038</v>
      </c>
      <c r="H141">
        <v>388</v>
      </c>
      <c r="I141" t="s">
        <v>18</v>
      </c>
      <c r="J141" s="21">
        <f ca="1">DATE(Table2[[#This Row],[Year]],MONTH(1 &amp; Table2[[#This Row],[Month]]),RANDBETWEEN(1,30))</f>
        <v>44145</v>
      </c>
      <c r="L141" s="2">
        <v>2025</v>
      </c>
      <c r="M141" s="2" t="s">
        <v>55</v>
      </c>
      <c r="N141" s="2">
        <v>196268</v>
      </c>
      <c r="O141" s="2">
        <v>203092</v>
      </c>
      <c r="P141" s="2" t="s">
        <v>59</v>
      </c>
    </row>
    <row r="142" spans="1:16">
      <c r="A142">
        <v>2020</v>
      </c>
      <c r="B142" t="s">
        <v>32</v>
      </c>
      <c r="C142" t="s">
        <v>15</v>
      </c>
      <c r="D142" t="s">
        <v>17</v>
      </c>
      <c r="E142">
        <v>2962</v>
      </c>
      <c r="F142">
        <v>6576</v>
      </c>
      <c r="G142">
        <v>8344</v>
      </c>
      <c r="H142">
        <v>2819</v>
      </c>
      <c r="I142" t="s">
        <v>18</v>
      </c>
      <c r="J142" s="21">
        <f ca="1">DATE(Table2[[#This Row],[Year]],MONTH(1 &amp; Table2[[#This Row],[Month]]),RANDBETWEEN(1,30))</f>
        <v>44151</v>
      </c>
      <c r="L142" s="2">
        <v>2024</v>
      </c>
      <c r="M142" s="2" t="s">
        <v>58</v>
      </c>
      <c r="N142" s="2">
        <v>449723</v>
      </c>
      <c r="O142" s="2">
        <v>605342</v>
      </c>
      <c r="P142" s="2" t="s">
        <v>49</v>
      </c>
    </row>
    <row r="143" spans="1:16">
      <c r="A143">
        <v>2020</v>
      </c>
      <c r="B143" t="s">
        <v>32</v>
      </c>
      <c r="C143" t="s">
        <v>29</v>
      </c>
      <c r="D143" t="s">
        <v>42</v>
      </c>
      <c r="E143">
        <v>3289</v>
      </c>
      <c r="F143">
        <v>1218</v>
      </c>
      <c r="G143">
        <v>10941</v>
      </c>
      <c r="H143">
        <v>1731</v>
      </c>
      <c r="I143" t="s">
        <v>18</v>
      </c>
      <c r="J143" s="21">
        <f ca="1">DATE(Table2[[#This Row],[Year]],MONTH(1 &amp; Table2[[#This Row],[Month]]),RANDBETWEEN(1,30))</f>
        <v>44149</v>
      </c>
      <c r="L143" s="2">
        <v>2021</v>
      </c>
      <c r="M143" s="2" t="s">
        <v>54</v>
      </c>
      <c r="N143" s="2">
        <v>432249</v>
      </c>
      <c r="O143" s="2">
        <v>674185</v>
      </c>
      <c r="P143" s="2" t="s">
        <v>59</v>
      </c>
    </row>
    <row r="144" spans="1:16">
      <c r="A144">
        <v>2020</v>
      </c>
      <c r="B144" t="s">
        <v>32</v>
      </c>
      <c r="C144" t="s">
        <v>21</v>
      </c>
      <c r="D144" t="s">
        <v>35</v>
      </c>
      <c r="E144">
        <v>1430</v>
      </c>
      <c r="F144">
        <v>5431</v>
      </c>
      <c r="G144">
        <v>11962</v>
      </c>
      <c r="H144">
        <v>1030</v>
      </c>
      <c r="I144" t="s">
        <v>18</v>
      </c>
      <c r="J144" s="21">
        <f ca="1">DATE(Table2[[#This Row],[Year]],MONTH(1 &amp; Table2[[#This Row],[Month]]),RANDBETWEEN(1,30))</f>
        <v>44143</v>
      </c>
      <c r="L144" s="2">
        <v>2021</v>
      </c>
      <c r="M144" s="2" t="s">
        <v>57</v>
      </c>
      <c r="N144" s="2">
        <v>189863</v>
      </c>
      <c r="O144" s="2">
        <v>245663</v>
      </c>
      <c r="P144" s="2" t="s">
        <v>59</v>
      </c>
    </row>
    <row r="145" spans="1:16">
      <c r="A145">
        <v>2020</v>
      </c>
      <c r="B145" t="s">
        <v>32</v>
      </c>
      <c r="C145" t="s">
        <v>15</v>
      </c>
      <c r="D145" t="s">
        <v>39</v>
      </c>
      <c r="E145">
        <v>1524</v>
      </c>
      <c r="F145">
        <v>2922</v>
      </c>
      <c r="G145">
        <v>4747</v>
      </c>
      <c r="H145">
        <v>339</v>
      </c>
      <c r="I145" t="s">
        <v>12</v>
      </c>
      <c r="J145" s="21">
        <f ca="1">DATE(Table2[[#This Row],[Year]],MONTH(1 &amp; Table2[[#This Row],[Month]]),RANDBETWEEN(1,30))</f>
        <v>44154</v>
      </c>
      <c r="L145" s="2">
        <v>2020</v>
      </c>
      <c r="M145" s="2" t="s">
        <v>48</v>
      </c>
      <c r="N145" s="2">
        <v>259733</v>
      </c>
      <c r="O145" s="2">
        <v>280724</v>
      </c>
      <c r="P145" s="2" t="s">
        <v>49</v>
      </c>
    </row>
    <row r="146" spans="1:16">
      <c r="A146">
        <v>2020</v>
      </c>
      <c r="B146" t="s">
        <v>32</v>
      </c>
      <c r="C146" t="s">
        <v>29</v>
      </c>
      <c r="D146" t="s">
        <v>35</v>
      </c>
      <c r="E146">
        <v>1515</v>
      </c>
      <c r="F146">
        <v>5284</v>
      </c>
      <c r="G146">
        <v>8516</v>
      </c>
      <c r="H146">
        <v>2068</v>
      </c>
      <c r="I146" t="s">
        <v>28</v>
      </c>
      <c r="J146" s="21">
        <f ca="1">DATE(Table2[[#This Row],[Year]],MONTH(1 &amp; Table2[[#This Row],[Month]]),RANDBETWEEN(1,30))</f>
        <v>44136</v>
      </c>
      <c r="L146" s="2">
        <v>2022</v>
      </c>
      <c r="M146" s="2" t="s">
        <v>56</v>
      </c>
      <c r="N146" s="2">
        <v>263869</v>
      </c>
      <c r="O146" s="2">
        <v>680373</v>
      </c>
      <c r="P146" s="2" t="s">
        <v>49</v>
      </c>
    </row>
    <row r="147" spans="1:16">
      <c r="A147">
        <v>2020</v>
      </c>
      <c r="B147" t="s">
        <v>32</v>
      </c>
      <c r="C147" t="s">
        <v>10</v>
      </c>
      <c r="D147" t="s">
        <v>30</v>
      </c>
      <c r="E147">
        <v>1122</v>
      </c>
      <c r="F147">
        <v>8201</v>
      </c>
      <c r="G147">
        <v>7695</v>
      </c>
      <c r="H147">
        <v>2371</v>
      </c>
      <c r="I147" t="s">
        <v>12</v>
      </c>
      <c r="J147" s="21">
        <f ca="1">DATE(Table2[[#This Row],[Year]],MONTH(1 &amp; Table2[[#This Row],[Month]]),RANDBETWEEN(1,30))</f>
        <v>44138</v>
      </c>
      <c r="L147" s="2">
        <v>2021</v>
      </c>
      <c r="M147" s="2" t="s">
        <v>61</v>
      </c>
      <c r="N147" s="2">
        <v>491288</v>
      </c>
      <c r="O147" s="2">
        <v>468770</v>
      </c>
      <c r="P147" s="2" t="s">
        <v>59</v>
      </c>
    </row>
    <row r="148" spans="1:16">
      <c r="A148">
        <v>2020</v>
      </c>
      <c r="B148" t="s">
        <v>32</v>
      </c>
      <c r="C148" t="s">
        <v>23</v>
      </c>
      <c r="D148" t="s">
        <v>37</v>
      </c>
      <c r="E148">
        <v>1385</v>
      </c>
      <c r="F148">
        <v>8402</v>
      </c>
      <c r="G148">
        <v>6513</v>
      </c>
      <c r="H148">
        <v>1328</v>
      </c>
      <c r="I148" t="s">
        <v>18</v>
      </c>
      <c r="J148" s="21">
        <f ca="1">DATE(Table2[[#This Row],[Year]],MONTH(1 &amp; Table2[[#This Row],[Month]]),RANDBETWEEN(1,30))</f>
        <v>44140</v>
      </c>
      <c r="L148" s="2">
        <v>2024</v>
      </c>
      <c r="M148" s="2" t="s">
        <v>57</v>
      </c>
      <c r="N148" s="2">
        <v>172357</v>
      </c>
      <c r="O148" s="2">
        <v>207098</v>
      </c>
      <c r="P148" s="2" t="s">
        <v>53</v>
      </c>
    </row>
    <row r="149" spans="1:16">
      <c r="A149">
        <v>2020</v>
      </c>
      <c r="B149" t="s">
        <v>41</v>
      </c>
      <c r="C149" t="s">
        <v>21</v>
      </c>
      <c r="D149" t="s">
        <v>22</v>
      </c>
      <c r="E149">
        <v>572</v>
      </c>
      <c r="F149">
        <v>5932</v>
      </c>
      <c r="G149">
        <v>8574</v>
      </c>
      <c r="H149">
        <v>1487</v>
      </c>
      <c r="I149" t="s">
        <v>18</v>
      </c>
      <c r="J149" s="21">
        <f ca="1">DATE(Table2[[#This Row],[Year]],MONTH(1 &amp; Table2[[#This Row],[Month]]),RANDBETWEEN(1,30))</f>
        <v>44176</v>
      </c>
      <c r="L149" s="2">
        <v>2022</v>
      </c>
      <c r="M149" s="2" t="s">
        <v>52</v>
      </c>
      <c r="N149" s="2">
        <v>419663</v>
      </c>
      <c r="O149" s="2">
        <v>328816</v>
      </c>
      <c r="P149" s="2" t="s">
        <v>59</v>
      </c>
    </row>
    <row r="150" spans="1:16">
      <c r="A150">
        <v>2020</v>
      </c>
      <c r="B150" t="s">
        <v>41</v>
      </c>
      <c r="C150" t="s">
        <v>15</v>
      </c>
      <c r="D150" t="s">
        <v>35</v>
      </c>
      <c r="E150">
        <v>348</v>
      </c>
      <c r="F150">
        <v>4573</v>
      </c>
      <c r="G150">
        <v>2769</v>
      </c>
      <c r="H150">
        <v>2152</v>
      </c>
      <c r="I150" t="s">
        <v>28</v>
      </c>
      <c r="J150" s="21">
        <f ca="1">DATE(Table2[[#This Row],[Year]],MONTH(1 &amp; Table2[[#This Row],[Month]]),RANDBETWEEN(1,30))</f>
        <v>44186</v>
      </c>
      <c r="L150" s="2">
        <v>2020</v>
      </c>
      <c r="M150" s="2" t="s">
        <v>61</v>
      </c>
      <c r="N150" s="2">
        <v>233677</v>
      </c>
      <c r="O150" s="2">
        <v>424972</v>
      </c>
      <c r="P150" s="2" t="s">
        <v>53</v>
      </c>
    </row>
    <row r="151" spans="1:16">
      <c r="A151">
        <v>2020</v>
      </c>
      <c r="B151" t="s">
        <v>41</v>
      </c>
      <c r="C151" t="s">
        <v>10</v>
      </c>
      <c r="D151" t="s">
        <v>42</v>
      </c>
      <c r="E151">
        <v>342</v>
      </c>
      <c r="F151">
        <v>8835</v>
      </c>
      <c r="G151">
        <v>2252</v>
      </c>
      <c r="H151">
        <v>1374</v>
      </c>
      <c r="I151" t="s">
        <v>12</v>
      </c>
      <c r="J151" s="21">
        <f ca="1">DATE(Table2[[#This Row],[Year]],MONTH(1 &amp; Table2[[#This Row],[Month]]),RANDBETWEEN(1,30))</f>
        <v>44186</v>
      </c>
      <c r="L151" s="2">
        <v>2023</v>
      </c>
      <c r="M151" s="2" t="s">
        <v>48</v>
      </c>
      <c r="N151" s="2">
        <v>392348</v>
      </c>
      <c r="O151" s="2">
        <v>546454</v>
      </c>
      <c r="P151" s="2" t="s">
        <v>53</v>
      </c>
    </row>
    <row r="152" spans="1:16">
      <c r="A152">
        <v>2020</v>
      </c>
      <c r="B152" t="s">
        <v>41</v>
      </c>
      <c r="C152" t="s">
        <v>23</v>
      </c>
      <c r="D152" t="s">
        <v>23</v>
      </c>
      <c r="E152">
        <v>2894</v>
      </c>
      <c r="F152">
        <v>4875</v>
      </c>
      <c r="G152">
        <v>5894</v>
      </c>
      <c r="H152">
        <v>1600</v>
      </c>
      <c r="I152" t="s">
        <v>12</v>
      </c>
      <c r="J152" s="21">
        <f ca="1">DATE(Table2[[#This Row],[Year]],MONTH(1 &amp; Table2[[#This Row],[Month]]),RANDBETWEEN(1,30))</f>
        <v>44177</v>
      </c>
      <c r="L152" s="2">
        <v>2023</v>
      </c>
      <c r="M152" s="2" t="s">
        <v>55</v>
      </c>
      <c r="N152" s="2">
        <v>268004</v>
      </c>
      <c r="O152" s="2">
        <v>566580</v>
      </c>
      <c r="P152" s="2" t="s">
        <v>59</v>
      </c>
    </row>
    <row r="153" spans="1:16">
      <c r="A153">
        <v>2020</v>
      </c>
      <c r="B153" t="s">
        <v>41</v>
      </c>
      <c r="C153" t="s">
        <v>21</v>
      </c>
      <c r="D153" t="s">
        <v>16</v>
      </c>
      <c r="E153">
        <v>2425</v>
      </c>
      <c r="F153">
        <v>6889</v>
      </c>
      <c r="G153">
        <v>8213</v>
      </c>
      <c r="H153">
        <v>2904</v>
      </c>
      <c r="I153" t="s">
        <v>18</v>
      </c>
      <c r="J153" s="21">
        <f ca="1">DATE(Table2[[#This Row],[Year]],MONTH(1 &amp; Table2[[#This Row],[Month]]),RANDBETWEEN(1,30))</f>
        <v>44184</v>
      </c>
      <c r="L153" s="2">
        <v>2023</v>
      </c>
      <c r="M153" s="2" t="s">
        <v>61</v>
      </c>
      <c r="N153" s="2">
        <v>331344</v>
      </c>
      <c r="O153" s="2">
        <v>697711</v>
      </c>
      <c r="P153" s="2" t="s">
        <v>59</v>
      </c>
    </row>
    <row r="154" spans="1:16">
      <c r="A154">
        <v>2020</v>
      </c>
      <c r="B154" t="s">
        <v>41</v>
      </c>
      <c r="C154" t="s">
        <v>29</v>
      </c>
      <c r="D154" t="s">
        <v>39</v>
      </c>
      <c r="E154">
        <v>1257</v>
      </c>
      <c r="F154">
        <v>1232</v>
      </c>
      <c r="G154">
        <v>4714</v>
      </c>
      <c r="H154">
        <v>2616</v>
      </c>
      <c r="I154" t="s">
        <v>18</v>
      </c>
      <c r="J154" s="21">
        <f ca="1">DATE(Table2[[#This Row],[Year]],MONTH(1 &amp; Table2[[#This Row],[Month]]),RANDBETWEEN(1,30))</f>
        <v>44184</v>
      </c>
      <c r="L154" s="2">
        <v>2021</v>
      </c>
      <c r="M154" s="2" t="s">
        <v>60</v>
      </c>
      <c r="N154" s="2">
        <v>433045</v>
      </c>
      <c r="O154" s="2">
        <v>343756</v>
      </c>
      <c r="P154" s="2" t="s">
        <v>50</v>
      </c>
    </row>
    <row r="155" spans="1:16">
      <c r="A155">
        <v>2020</v>
      </c>
      <c r="B155" t="s">
        <v>41</v>
      </c>
      <c r="C155" t="s">
        <v>23</v>
      </c>
      <c r="D155" t="s">
        <v>26</v>
      </c>
      <c r="E155">
        <v>752</v>
      </c>
      <c r="F155">
        <v>3177</v>
      </c>
      <c r="G155">
        <v>6589</v>
      </c>
      <c r="H155">
        <v>2513</v>
      </c>
      <c r="I155" t="s">
        <v>12</v>
      </c>
      <c r="J155" s="21">
        <f ca="1">DATE(Table2[[#This Row],[Year]],MONTH(1 &amp; Table2[[#This Row],[Month]]),RANDBETWEEN(1,30))</f>
        <v>44190</v>
      </c>
      <c r="L155" s="2">
        <v>2022</v>
      </c>
      <c r="M155" s="2" t="s">
        <v>48</v>
      </c>
      <c r="N155" s="2">
        <v>421666</v>
      </c>
      <c r="O155" s="2">
        <v>469110</v>
      </c>
      <c r="P155" s="2" t="s">
        <v>53</v>
      </c>
    </row>
    <row r="156" spans="1:16">
      <c r="A156">
        <v>2020</v>
      </c>
      <c r="B156" t="s">
        <v>41</v>
      </c>
      <c r="C156" t="s">
        <v>15</v>
      </c>
      <c r="D156" t="s">
        <v>37</v>
      </c>
      <c r="E156">
        <v>2203</v>
      </c>
      <c r="F156">
        <v>5614</v>
      </c>
      <c r="G156">
        <v>3939</v>
      </c>
      <c r="H156">
        <v>1735</v>
      </c>
      <c r="I156" t="s">
        <v>18</v>
      </c>
      <c r="J156" s="21">
        <f ca="1">DATE(Table2[[#This Row],[Year]],MONTH(1 &amp; Table2[[#This Row],[Month]]),RANDBETWEEN(1,30))</f>
        <v>44190</v>
      </c>
      <c r="L156" s="2">
        <v>2020</v>
      </c>
      <c r="M156" s="2" t="s">
        <v>51</v>
      </c>
      <c r="N156" s="2">
        <v>446569</v>
      </c>
      <c r="O156" s="2">
        <v>466662</v>
      </c>
      <c r="P156" s="2" t="s">
        <v>53</v>
      </c>
    </row>
    <row r="157" spans="1:16">
      <c r="A157">
        <v>2020</v>
      </c>
      <c r="B157" t="s">
        <v>41</v>
      </c>
      <c r="C157" t="s">
        <v>23</v>
      </c>
      <c r="D157" t="s">
        <v>34</v>
      </c>
      <c r="E157">
        <v>3263</v>
      </c>
      <c r="F157">
        <v>4011</v>
      </c>
      <c r="G157">
        <v>4825</v>
      </c>
      <c r="H157">
        <v>660</v>
      </c>
      <c r="I157" t="s">
        <v>28</v>
      </c>
      <c r="J157" s="21">
        <f ca="1">DATE(Table2[[#This Row],[Year]],MONTH(1 &amp; Table2[[#This Row],[Month]]),RANDBETWEEN(1,30))</f>
        <v>44171</v>
      </c>
      <c r="L157" s="2">
        <v>2022</v>
      </c>
      <c r="M157" s="2" t="s">
        <v>60</v>
      </c>
      <c r="N157" s="2">
        <v>123847</v>
      </c>
      <c r="O157" s="2">
        <v>402823</v>
      </c>
      <c r="P157" s="2" t="s">
        <v>49</v>
      </c>
    </row>
    <row r="158" spans="1:16">
      <c r="A158">
        <v>2020</v>
      </c>
      <c r="B158" t="s">
        <v>41</v>
      </c>
      <c r="C158" t="s">
        <v>23</v>
      </c>
      <c r="D158" t="s">
        <v>43</v>
      </c>
      <c r="E158">
        <v>2377</v>
      </c>
      <c r="F158">
        <v>5143</v>
      </c>
      <c r="G158">
        <v>11770</v>
      </c>
      <c r="H158">
        <v>1136</v>
      </c>
      <c r="I158" t="s">
        <v>12</v>
      </c>
      <c r="J158" s="21">
        <f ca="1">DATE(Table2[[#This Row],[Year]],MONTH(1 &amp; Table2[[#This Row],[Month]]),RANDBETWEEN(1,30))</f>
        <v>44193</v>
      </c>
      <c r="L158" s="2">
        <v>2025</v>
      </c>
      <c r="M158" s="2" t="s">
        <v>60</v>
      </c>
      <c r="N158" s="2">
        <v>376820</v>
      </c>
      <c r="O158" s="2">
        <v>284581</v>
      </c>
      <c r="P158" s="2" t="s">
        <v>49</v>
      </c>
    </row>
    <row r="159" spans="1:16">
      <c r="A159">
        <v>2020</v>
      </c>
      <c r="B159" t="s">
        <v>41</v>
      </c>
      <c r="C159" t="s">
        <v>15</v>
      </c>
      <c r="D159" t="s">
        <v>26</v>
      </c>
      <c r="E159">
        <v>423</v>
      </c>
      <c r="F159">
        <v>7320</v>
      </c>
      <c r="G159">
        <v>8939</v>
      </c>
      <c r="H159">
        <v>452</v>
      </c>
      <c r="I159" t="s">
        <v>12</v>
      </c>
      <c r="J159" s="21">
        <f ca="1">DATE(Table2[[#This Row],[Year]],MONTH(1 &amp; Table2[[#This Row],[Month]]),RANDBETWEEN(1,30))</f>
        <v>44173</v>
      </c>
      <c r="L159" s="2">
        <v>2021</v>
      </c>
      <c r="M159" s="2" t="s">
        <v>58</v>
      </c>
      <c r="N159" s="2">
        <v>155995</v>
      </c>
      <c r="O159" s="2">
        <v>688728</v>
      </c>
      <c r="P159" s="2" t="s">
        <v>50</v>
      </c>
    </row>
    <row r="160" spans="1:16">
      <c r="A160">
        <v>2020</v>
      </c>
      <c r="B160" t="s">
        <v>41</v>
      </c>
      <c r="C160" t="s">
        <v>23</v>
      </c>
      <c r="D160" t="s">
        <v>30</v>
      </c>
      <c r="E160">
        <v>95</v>
      </c>
      <c r="F160">
        <v>9187</v>
      </c>
      <c r="G160">
        <v>4484</v>
      </c>
      <c r="H160">
        <v>2129</v>
      </c>
      <c r="I160" t="s">
        <v>18</v>
      </c>
      <c r="J160" s="21">
        <f ca="1">DATE(Table2[[#This Row],[Year]],MONTH(1 &amp; Table2[[#This Row],[Month]]),RANDBETWEEN(1,30))</f>
        <v>44168</v>
      </c>
      <c r="L160" s="2">
        <v>2024</v>
      </c>
      <c r="M160" s="2" t="s">
        <v>60</v>
      </c>
      <c r="N160" s="2">
        <v>266327</v>
      </c>
      <c r="O160" s="2">
        <v>626659</v>
      </c>
      <c r="P160" s="2" t="s">
        <v>53</v>
      </c>
    </row>
    <row r="161" spans="1:16">
      <c r="A161">
        <v>2021</v>
      </c>
      <c r="B161" t="s">
        <v>9</v>
      </c>
      <c r="C161" t="s">
        <v>10</v>
      </c>
      <c r="D161" t="s">
        <v>17</v>
      </c>
      <c r="E161">
        <v>249</v>
      </c>
      <c r="F161">
        <v>8148</v>
      </c>
      <c r="G161">
        <v>8989</v>
      </c>
      <c r="H161">
        <v>1297</v>
      </c>
      <c r="I161" t="s">
        <v>18</v>
      </c>
      <c r="J161" s="21">
        <f ca="1">DATE(Table2[[#This Row],[Year]],MONTH(1 &amp; Table2[[#This Row],[Month]]),RANDBETWEEN(1,30))</f>
        <v>44221</v>
      </c>
      <c r="L161" s="2">
        <v>2020</v>
      </c>
      <c r="M161" s="2" t="s">
        <v>48</v>
      </c>
      <c r="N161" s="2">
        <v>319435</v>
      </c>
      <c r="O161" s="2">
        <v>449167</v>
      </c>
      <c r="P161" s="2" t="s">
        <v>59</v>
      </c>
    </row>
    <row r="162" spans="1:16">
      <c r="A162">
        <v>2021</v>
      </c>
      <c r="B162" t="s">
        <v>9</v>
      </c>
      <c r="C162" t="s">
        <v>29</v>
      </c>
      <c r="D162" t="s">
        <v>17</v>
      </c>
      <c r="E162">
        <v>98</v>
      </c>
      <c r="F162">
        <v>6538</v>
      </c>
      <c r="G162">
        <v>6045</v>
      </c>
      <c r="H162">
        <v>1168</v>
      </c>
      <c r="I162" t="s">
        <v>12</v>
      </c>
      <c r="J162" s="21">
        <f ca="1">DATE(Table2[[#This Row],[Year]],MONTH(1 &amp; Table2[[#This Row],[Month]]),RANDBETWEEN(1,30))</f>
        <v>44211</v>
      </c>
      <c r="L162" s="2">
        <v>2022</v>
      </c>
      <c r="M162" s="2" t="s">
        <v>48</v>
      </c>
      <c r="N162" s="2">
        <v>261096</v>
      </c>
      <c r="O162" s="2">
        <v>501623</v>
      </c>
      <c r="P162" s="2" t="s">
        <v>53</v>
      </c>
    </row>
    <row r="163" spans="1:16">
      <c r="A163">
        <v>2021</v>
      </c>
      <c r="B163" t="s">
        <v>9</v>
      </c>
      <c r="C163" t="s">
        <v>21</v>
      </c>
      <c r="D163" t="s">
        <v>43</v>
      </c>
      <c r="E163">
        <v>2175</v>
      </c>
      <c r="F163">
        <v>5175</v>
      </c>
      <c r="G163">
        <v>2785</v>
      </c>
      <c r="H163">
        <v>2506</v>
      </c>
      <c r="I163" t="s">
        <v>12</v>
      </c>
      <c r="J163" s="21">
        <f ca="1">DATE(Table2[[#This Row],[Year]],MONTH(1 &amp; Table2[[#This Row],[Month]]),RANDBETWEEN(1,30))</f>
        <v>44214</v>
      </c>
      <c r="L163" s="2">
        <v>2022</v>
      </c>
      <c r="M163" s="2" t="s">
        <v>57</v>
      </c>
      <c r="N163" s="2">
        <v>307845</v>
      </c>
      <c r="O163" s="2">
        <v>313631</v>
      </c>
      <c r="P163" s="2" t="s">
        <v>49</v>
      </c>
    </row>
    <row r="164" spans="1:16">
      <c r="A164">
        <v>2021</v>
      </c>
      <c r="B164" t="s">
        <v>9</v>
      </c>
      <c r="C164" t="s">
        <v>21</v>
      </c>
      <c r="D164" t="s">
        <v>35</v>
      </c>
      <c r="E164">
        <v>804</v>
      </c>
      <c r="F164">
        <v>8619</v>
      </c>
      <c r="G164">
        <v>5452</v>
      </c>
      <c r="H164">
        <v>678</v>
      </c>
      <c r="I164" t="s">
        <v>28</v>
      </c>
      <c r="J164" s="21">
        <f ca="1">DATE(Table2[[#This Row],[Year]],MONTH(1 &amp; Table2[[#This Row],[Month]]),RANDBETWEEN(1,30))</f>
        <v>44220</v>
      </c>
      <c r="L164" s="2">
        <v>2023</v>
      </c>
      <c r="M164" s="2" t="s">
        <v>48</v>
      </c>
      <c r="N164" s="2">
        <v>498611</v>
      </c>
      <c r="O164" s="2">
        <v>471894</v>
      </c>
      <c r="P164" s="2" t="s">
        <v>59</v>
      </c>
    </row>
    <row r="165" spans="1:16">
      <c r="A165">
        <v>2021</v>
      </c>
      <c r="B165" t="s">
        <v>9</v>
      </c>
      <c r="C165" t="s">
        <v>10</v>
      </c>
      <c r="D165" t="s">
        <v>38</v>
      </c>
      <c r="E165">
        <v>3754</v>
      </c>
      <c r="F165">
        <v>7603</v>
      </c>
      <c r="G165">
        <v>3054</v>
      </c>
      <c r="H165">
        <v>2465</v>
      </c>
      <c r="I165" t="s">
        <v>18</v>
      </c>
      <c r="J165" s="21">
        <f ca="1">DATE(Table2[[#This Row],[Year]],MONTH(1 &amp; Table2[[#This Row],[Month]]),RANDBETWEEN(1,30))</f>
        <v>44225</v>
      </c>
      <c r="L165" s="2">
        <v>2022</v>
      </c>
      <c r="M165" s="2" t="s">
        <v>61</v>
      </c>
      <c r="N165" s="2">
        <v>154087</v>
      </c>
      <c r="O165" s="2">
        <v>547485</v>
      </c>
      <c r="P165" s="2" t="s">
        <v>49</v>
      </c>
    </row>
    <row r="166" spans="1:16">
      <c r="A166">
        <v>2021</v>
      </c>
      <c r="B166" t="s">
        <v>9</v>
      </c>
      <c r="C166" t="s">
        <v>21</v>
      </c>
      <c r="D166" t="s">
        <v>26</v>
      </c>
      <c r="E166">
        <v>1033</v>
      </c>
      <c r="F166">
        <v>2340</v>
      </c>
      <c r="G166">
        <v>9183</v>
      </c>
      <c r="H166">
        <v>2897</v>
      </c>
      <c r="I166" t="s">
        <v>28</v>
      </c>
      <c r="J166" s="21">
        <f ca="1">DATE(Table2[[#This Row],[Year]],MONTH(1 &amp; Table2[[#This Row],[Month]]),RANDBETWEEN(1,30))</f>
        <v>44221</v>
      </c>
      <c r="L166" s="2">
        <v>2022</v>
      </c>
      <c r="M166" s="2" t="s">
        <v>61</v>
      </c>
      <c r="N166" s="2">
        <v>370182</v>
      </c>
      <c r="O166" s="2">
        <v>457584</v>
      </c>
      <c r="P166" s="2" t="s">
        <v>49</v>
      </c>
    </row>
    <row r="167" spans="1:16">
      <c r="A167">
        <v>2021</v>
      </c>
      <c r="B167" t="s">
        <v>9</v>
      </c>
      <c r="C167" t="s">
        <v>21</v>
      </c>
      <c r="D167" t="s">
        <v>16</v>
      </c>
      <c r="E167">
        <v>1469</v>
      </c>
      <c r="F167">
        <v>3492</v>
      </c>
      <c r="G167">
        <v>8740</v>
      </c>
      <c r="H167">
        <v>1805</v>
      </c>
      <c r="I167" t="s">
        <v>28</v>
      </c>
      <c r="J167" s="21">
        <f ca="1">DATE(Table2[[#This Row],[Year]],MONTH(1 &amp; Table2[[#This Row],[Month]]),RANDBETWEEN(1,30))</f>
        <v>44214</v>
      </c>
      <c r="L167" s="2">
        <v>2021</v>
      </c>
      <c r="M167" s="2" t="s">
        <v>55</v>
      </c>
      <c r="N167" s="2">
        <v>258400</v>
      </c>
      <c r="O167" s="2">
        <v>695143</v>
      </c>
      <c r="P167" s="2" t="s">
        <v>49</v>
      </c>
    </row>
    <row r="168" spans="1:16">
      <c r="A168">
        <v>2021</v>
      </c>
      <c r="B168" t="s">
        <v>9</v>
      </c>
      <c r="C168" t="s">
        <v>15</v>
      </c>
      <c r="D168" t="s">
        <v>42</v>
      </c>
      <c r="E168">
        <v>558</v>
      </c>
      <c r="F168">
        <v>4063</v>
      </c>
      <c r="G168">
        <v>9587</v>
      </c>
      <c r="H168">
        <v>2346</v>
      </c>
      <c r="I168" t="s">
        <v>12</v>
      </c>
      <c r="J168" s="21">
        <f ca="1">DATE(Table2[[#This Row],[Year]],MONTH(1 &amp; Table2[[#This Row],[Month]]),RANDBETWEEN(1,30))</f>
        <v>44210</v>
      </c>
      <c r="L168" s="2">
        <v>2020</v>
      </c>
      <c r="M168" s="2" t="s">
        <v>61</v>
      </c>
      <c r="N168" s="2">
        <v>153204</v>
      </c>
      <c r="O168" s="2">
        <v>505671</v>
      </c>
      <c r="P168" s="2" t="s">
        <v>49</v>
      </c>
    </row>
    <row r="169" spans="1:16">
      <c r="A169">
        <v>2021</v>
      </c>
      <c r="B169" t="s">
        <v>9</v>
      </c>
      <c r="C169" t="s">
        <v>15</v>
      </c>
      <c r="D169" t="s">
        <v>17</v>
      </c>
      <c r="E169">
        <v>69</v>
      </c>
      <c r="F169">
        <v>2123</v>
      </c>
      <c r="G169">
        <v>2884</v>
      </c>
      <c r="H169">
        <v>555</v>
      </c>
      <c r="I169" t="s">
        <v>18</v>
      </c>
      <c r="J169" s="21">
        <f ca="1">DATE(Table2[[#This Row],[Year]],MONTH(1 &amp; Table2[[#This Row],[Month]]),RANDBETWEEN(1,30))</f>
        <v>44203</v>
      </c>
      <c r="L169" s="2">
        <v>2025</v>
      </c>
      <c r="M169" s="2" t="s">
        <v>51</v>
      </c>
      <c r="N169" s="2">
        <v>163495</v>
      </c>
      <c r="O169" s="2">
        <v>385487</v>
      </c>
      <c r="P169" s="2" t="s">
        <v>49</v>
      </c>
    </row>
    <row r="170" spans="1:16">
      <c r="A170">
        <v>2021</v>
      </c>
      <c r="B170" t="s">
        <v>19</v>
      </c>
      <c r="C170" t="s">
        <v>29</v>
      </c>
      <c r="D170" t="s">
        <v>20</v>
      </c>
      <c r="E170">
        <v>775</v>
      </c>
      <c r="F170">
        <v>4505</v>
      </c>
      <c r="G170">
        <v>9500</v>
      </c>
      <c r="H170">
        <v>1084</v>
      </c>
      <c r="I170" t="s">
        <v>12</v>
      </c>
      <c r="J170" s="21">
        <f ca="1">DATE(Table2[[#This Row],[Year]],MONTH(1 &amp; Table2[[#This Row],[Month]]),RANDBETWEEN(1,30))</f>
        <v>44232</v>
      </c>
      <c r="L170" s="2">
        <v>2025</v>
      </c>
      <c r="M170" s="2" t="s">
        <v>48</v>
      </c>
      <c r="N170" s="2">
        <v>479709</v>
      </c>
      <c r="O170" s="2">
        <v>586076</v>
      </c>
      <c r="P170" s="2" t="s">
        <v>53</v>
      </c>
    </row>
    <row r="171" spans="1:16">
      <c r="A171">
        <v>2021</v>
      </c>
      <c r="B171" t="s">
        <v>19</v>
      </c>
      <c r="C171" t="s">
        <v>21</v>
      </c>
      <c r="D171" t="s">
        <v>20</v>
      </c>
      <c r="E171">
        <v>2314</v>
      </c>
      <c r="F171">
        <v>3711</v>
      </c>
      <c r="G171">
        <v>8729</v>
      </c>
      <c r="H171">
        <v>1312</v>
      </c>
      <c r="I171" t="s">
        <v>12</v>
      </c>
      <c r="J171" s="21">
        <f ca="1">DATE(Table2[[#This Row],[Year]],MONTH(1 &amp; Table2[[#This Row],[Month]]),RANDBETWEEN(1,30))</f>
        <v>44247</v>
      </c>
      <c r="L171" s="2">
        <v>2024</v>
      </c>
      <c r="M171" s="2" t="s">
        <v>51</v>
      </c>
      <c r="N171" s="2">
        <v>451841</v>
      </c>
      <c r="O171" s="2">
        <v>285231</v>
      </c>
      <c r="P171" s="2" t="s">
        <v>53</v>
      </c>
    </row>
    <row r="172" spans="1:16">
      <c r="A172">
        <v>2021</v>
      </c>
      <c r="B172" t="s">
        <v>19</v>
      </c>
      <c r="C172" t="s">
        <v>23</v>
      </c>
      <c r="D172" t="s">
        <v>34</v>
      </c>
      <c r="E172">
        <v>1729</v>
      </c>
      <c r="F172">
        <v>8718</v>
      </c>
      <c r="G172">
        <v>3834</v>
      </c>
      <c r="H172">
        <v>2083</v>
      </c>
      <c r="I172" t="s">
        <v>12</v>
      </c>
      <c r="J172" s="21">
        <f ca="1">DATE(Table2[[#This Row],[Year]],MONTH(1 &amp; Table2[[#This Row],[Month]]),RANDBETWEEN(1,30))</f>
        <v>44236</v>
      </c>
      <c r="L172" s="2">
        <v>2023</v>
      </c>
      <c r="M172" s="2" t="s">
        <v>51</v>
      </c>
      <c r="N172" s="2">
        <v>462817</v>
      </c>
      <c r="O172" s="2">
        <v>392258</v>
      </c>
      <c r="P172" s="2" t="s">
        <v>50</v>
      </c>
    </row>
    <row r="173" spans="1:16">
      <c r="A173">
        <v>2021</v>
      </c>
      <c r="B173" t="s">
        <v>19</v>
      </c>
      <c r="C173" t="s">
        <v>10</v>
      </c>
      <c r="D173" t="s">
        <v>23</v>
      </c>
      <c r="E173">
        <v>1345</v>
      </c>
      <c r="F173">
        <v>1609</v>
      </c>
      <c r="G173">
        <v>10540</v>
      </c>
      <c r="H173">
        <v>2602</v>
      </c>
      <c r="I173" t="s">
        <v>12</v>
      </c>
      <c r="J173" s="21">
        <f ca="1">DATE(Table2[[#This Row],[Year]],MONTH(1 &amp; Table2[[#This Row],[Month]]),RANDBETWEEN(1,30))</f>
        <v>44235</v>
      </c>
      <c r="L173" s="2">
        <v>2021</v>
      </c>
      <c r="M173" s="2" t="s">
        <v>52</v>
      </c>
      <c r="N173" s="2">
        <v>496613</v>
      </c>
      <c r="O173" s="2">
        <v>373479</v>
      </c>
      <c r="P173" s="2" t="s">
        <v>50</v>
      </c>
    </row>
    <row r="174" spans="1:16">
      <c r="A174">
        <v>2021</v>
      </c>
      <c r="B174" t="s">
        <v>19</v>
      </c>
      <c r="C174" t="s">
        <v>29</v>
      </c>
      <c r="D174" t="s">
        <v>30</v>
      </c>
      <c r="E174">
        <v>1197</v>
      </c>
      <c r="F174">
        <v>4791</v>
      </c>
      <c r="G174">
        <v>2389</v>
      </c>
      <c r="H174">
        <v>1158</v>
      </c>
      <c r="I174" t="s">
        <v>28</v>
      </c>
      <c r="J174" s="21">
        <f ca="1">DATE(Table2[[#This Row],[Year]],MONTH(1 &amp; Table2[[#This Row],[Month]]),RANDBETWEEN(1,30))</f>
        <v>44248</v>
      </c>
      <c r="L174" s="2">
        <v>2022</v>
      </c>
      <c r="M174" s="2" t="s">
        <v>60</v>
      </c>
      <c r="N174" s="2">
        <v>183326</v>
      </c>
      <c r="O174" s="2">
        <v>415904</v>
      </c>
      <c r="P174" s="2" t="s">
        <v>59</v>
      </c>
    </row>
    <row r="175" spans="1:16">
      <c r="A175">
        <v>2021</v>
      </c>
      <c r="B175" t="s">
        <v>19</v>
      </c>
      <c r="C175" t="s">
        <v>15</v>
      </c>
      <c r="D175" t="s">
        <v>22</v>
      </c>
      <c r="E175">
        <v>285</v>
      </c>
      <c r="F175">
        <v>6391</v>
      </c>
      <c r="G175">
        <v>9874</v>
      </c>
      <c r="H175">
        <v>2582</v>
      </c>
      <c r="I175" t="s">
        <v>28</v>
      </c>
      <c r="J175" s="21">
        <f ca="1">DATE(Table2[[#This Row],[Year]],MONTH(1 &amp; Table2[[#This Row],[Month]]),RANDBETWEEN(1,30))</f>
        <v>44239</v>
      </c>
      <c r="L175" s="2">
        <v>2025</v>
      </c>
      <c r="M175" s="2" t="s">
        <v>55</v>
      </c>
      <c r="N175" s="2">
        <v>242176</v>
      </c>
      <c r="O175" s="2">
        <v>590890</v>
      </c>
      <c r="P175" s="2" t="s">
        <v>53</v>
      </c>
    </row>
    <row r="176" spans="1:16">
      <c r="A176">
        <v>2021</v>
      </c>
      <c r="B176" t="s">
        <v>19</v>
      </c>
      <c r="C176" t="s">
        <v>29</v>
      </c>
      <c r="D176" t="s">
        <v>22</v>
      </c>
      <c r="E176">
        <v>1763</v>
      </c>
      <c r="F176">
        <v>9033</v>
      </c>
      <c r="G176">
        <v>5010</v>
      </c>
      <c r="H176">
        <v>2343</v>
      </c>
      <c r="I176" t="s">
        <v>18</v>
      </c>
      <c r="J176" s="21">
        <f ca="1">DATE(Table2[[#This Row],[Year]],MONTH(1 &amp; Table2[[#This Row],[Month]]),RANDBETWEEN(1,30))</f>
        <v>44251</v>
      </c>
      <c r="L176" s="2">
        <v>2024</v>
      </c>
      <c r="M176" s="2" t="s">
        <v>60</v>
      </c>
      <c r="N176" s="2">
        <v>367688</v>
      </c>
      <c r="O176" s="2">
        <v>442087</v>
      </c>
      <c r="P176" s="2" t="s">
        <v>50</v>
      </c>
    </row>
    <row r="177" spans="1:16">
      <c r="A177">
        <v>2021</v>
      </c>
      <c r="B177" t="s">
        <v>19</v>
      </c>
      <c r="C177" t="s">
        <v>29</v>
      </c>
      <c r="D177" t="s">
        <v>43</v>
      </c>
      <c r="E177">
        <v>1943</v>
      </c>
      <c r="F177">
        <v>7350</v>
      </c>
      <c r="G177">
        <v>11018</v>
      </c>
      <c r="H177">
        <v>2142</v>
      </c>
      <c r="I177" t="s">
        <v>28</v>
      </c>
      <c r="J177" s="21">
        <f ca="1">DATE(Table2[[#This Row],[Year]],MONTH(1 &amp; Table2[[#This Row],[Month]]),RANDBETWEEN(1,30))</f>
        <v>44241</v>
      </c>
      <c r="L177" s="2">
        <v>2020</v>
      </c>
      <c r="M177" s="2" t="s">
        <v>48</v>
      </c>
      <c r="N177" s="2">
        <v>293521</v>
      </c>
      <c r="O177" s="2">
        <v>597007</v>
      </c>
      <c r="P177" s="2" t="s">
        <v>50</v>
      </c>
    </row>
    <row r="178" spans="1:16">
      <c r="A178">
        <v>2021</v>
      </c>
      <c r="B178" t="s">
        <v>19</v>
      </c>
      <c r="C178" t="s">
        <v>10</v>
      </c>
      <c r="D178" t="s">
        <v>16</v>
      </c>
      <c r="E178">
        <v>1871</v>
      </c>
      <c r="F178">
        <v>1109</v>
      </c>
      <c r="G178">
        <v>5698</v>
      </c>
      <c r="H178">
        <v>1826</v>
      </c>
      <c r="I178" t="s">
        <v>18</v>
      </c>
      <c r="J178" s="21">
        <f ca="1">DATE(Table2[[#This Row],[Year]],MONTH(1 &amp; Table2[[#This Row],[Month]]),RANDBETWEEN(1,30))</f>
        <v>44237</v>
      </c>
      <c r="L178" s="2">
        <v>2023</v>
      </c>
      <c r="M178" s="2" t="s">
        <v>56</v>
      </c>
      <c r="N178" s="2">
        <v>267356</v>
      </c>
      <c r="O178" s="2">
        <v>488244</v>
      </c>
      <c r="P178" s="2" t="s">
        <v>53</v>
      </c>
    </row>
    <row r="179" spans="1:16">
      <c r="A179">
        <v>2021</v>
      </c>
      <c r="B179" t="s">
        <v>19</v>
      </c>
      <c r="C179" t="s">
        <v>15</v>
      </c>
      <c r="D179" t="s">
        <v>26</v>
      </c>
      <c r="E179">
        <v>3881</v>
      </c>
      <c r="F179">
        <v>6042</v>
      </c>
      <c r="G179">
        <v>9126</v>
      </c>
      <c r="H179">
        <v>1215</v>
      </c>
      <c r="I179" t="s">
        <v>28</v>
      </c>
      <c r="J179" s="21">
        <f ca="1">DATE(Table2[[#This Row],[Year]],MONTH(1 &amp; Table2[[#This Row],[Month]]),RANDBETWEEN(1,30))</f>
        <v>44237</v>
      </c>
      <c r="L179" s="2">
        <v>2024</v>
      </c>
      <c r="M179" s="2" t="s">
        <v>60</v>
      </c>
      <c r="N179" s="2">
        <v>243124</v>
      </c>
      <c r="O179" s="2">
        <v>371035</v>
      </c>
      <c r="P179" s="2" t="s">
        <v>53</v>
      </c>
    </row>
    <row r="180" spans="1:16">
      <c r="A180">
        <v>2021</v>
      </c>
      <c r="B180" t="s">
        <v>19</v>
      </c>
      <c r="C180" t="s">
        <v>21</v>
      </c>
      <c r="D180" t="s">
        <v>17</v>
      </c>
      <c r="E180">
        <v>801</v>
      </c>
      <c r="F180">
        <v>1722</v>
      </c>
      <c r="G180">
        <v>7409</v>
      </c>
      <c r="H180">
        <v>464</v>
      </c>
      <c r="I180" t="s">
        <v>18</v>
      </c>
      <c r="J180" s="21">
        <f ca="1">DATE(Table2[[#This Row],[Year]],MONTH(1 &amp; Table2[[#This Row],[Month]]),RANDBETWEEN(1,30))</f>
        <v>44251</v>
      </c>
      <c r="L180" s="2">
        <v>2023</v>
      </c>
      <c r="M180" s="2" t="s">
        <v>54</v>
      </c>
      <c r="N180" s="2">
        <v>337512</v>
      </c>
      <c r="O180" s="2">
        <v>604989</v>
      </c>
      <c r="P180" s="2" t="s">
        <v>59</v>
      </c>
    </row>
    <row r="181" spans="1:16">
      <c r="A181">
        <v>2021</v>
      </c>
      <c r="B181" t="s">
        <v>19</v>
      </c>
      <c r="C181" t="s">
        <v>15</v>
      </c>
      <c r="D181" t="s">
        <v>20</v>
      </c>
      <c r="E181">
        <v>3595</v>
      </c>
      <c r="F181">
        <v>5611</v>
      </c>
      <c r="G181">
        <v>6097</v>
      </c>
      <c r="H181">
        <v>2571</v>
      </c>
      <c r="I181" t="s">
        <v>28</v>
      </c>
      <c r="J181" s="21">
        <f ca="1">DATE(Table2[[#This Row],[Year]],MONTH(1 &amp; Table2[[#This Row],[Month]]),RANDBETWEEN(1,30))</f>
        <v>44254</v>
      </c>
      <c r="L181" s="2">
        <v>2020</v>
      </c>
      <c r="M181" s="2" t="s">
        <v>58</v>
      </c>
      <c r="N181" s="2">
        <v>330237</v>
      </c>
      <c r="O181" s="2">
        <v>319145</v>
      </c>
      <c r="P181" s="2" t="s">
        <v>53</v>
      </c>
    </row>
    <row r="182" spans="1:16">
      <c r="A182">
        <v>2021</v>
      </c>
      <c r="B182" t="s">
        <v>19</v>
      </c>
      <c r="C182" t="s">
        <v>10</v>
      </c>
      <c r="D182" t="s">
        <v>39</v>
      </c>
      <c r="E182">
        <v>778</v>
      </c>
      <c r="F182">
        <v>9698</v>
      </c>
      <c r="G182">
        <v>6249</v>
      </c>
      <c r="H182">
        <v>374</v>
      </c>
      <c r="I182" t="s">
        <v>12</v>
      </c>
      <c r="J182" s="21">
        <f ca="1">DATE(Table2[[#This Row],[Year]],MONTH(1 &amp; Table2[[#This Row],[Month]]),RANDBETWEEN(1,30))</f>
        <v>44245</v>
      </c>
      <c r="L182" s="2">
        <v>2022</v>
      </c>
      <c r="M182" s="2" t="s">
        <v>57</v>
      </c>
      <c r="N182" s="2">
        <v>164583</v>
      </c>
      <c r="O182" s="2">
        <v>312191</v>
      </c>
      <c r="P182" s="2" t="s">
        <v>53</v>
      </c>
    </row>
    <row r="183" spans="1:16">
      <c r="A183">
        <v>2021</v>
      </c>
      <c r="B183" t="s">
        <v>19</v>
      </c>
      <c r="C183" t="s">
        <v>21</v>
      </c>
      <c r="D183" t="s">
        <v>39</v>
      </c>
      <c r="E183">
        <v>2313</v>
      </c>
      <c r="F183">
        <v>1715</v>
      </c>
      <c r="G183">
        <v>6320</v>
      </c>
      <c r="H183">
        <v>1368</v>
      </c>
      <c r="I183" t="s">
        <v>18</v>
      </c>
      <c r="J183" s="21">
        <f ca="1">DATE(Table2[[#This Row],[Year]],MONTH(1 &amp; Table2[[#This Row],[Month]]),RANDBETWEEN(1,30))</f>
        <v>44231</v>
      </c>
      <c r="L183" s="2">
        <v>2020</v>
      </c>
      <c r="M183" s="2" t="s">
        <v>60</v>
      </c>
      <c r="N183" s="2">
        <v>288696</v>
      </c>
      <c r="O183" s="2">
        <v>452251</v>
      </c>
      <c r="P183" s="2" t="s">
        <v>53</v>
      </c>
    </row>
    <row r="184" spans="1:16">
      <c r="A184">
        <v>2021</v>
      </c>
      <c r="B184" t="s">
        <v>36</v>
      </c>
      <c r="C184" t="s">
        <v>23</v>
      </c>
      <c r="D184" t="s">
        <v>30</v>
      </c>
      <c r="E184">
        <v>2855</v>
      </c>
      <c r="F184">
        <v>2765</v>
      </c>
      <c r="G184">
        <v>9893</v>
      </c>
      <c r="H184">
        <v>326</v>
      </c>
      <c r="I184" t="s">
        <v>12</v>
      </c>
      <c r="J184" s="21">
        <f ca="1">DATE(Table2[[#This Row],[Year]],MONTH(1 &amp; Table2[[#This Row],[Month]]),RANDBETWEEN(1,30))</f>
        <v>44265</v>
      </c>
      <c r="L184" s="2">
        <v>2024</v>
      </c>
      <c r="M184" s="2" t="s">
        <v>57</v>
      </c>
      <c r="N184" s="2">
        <v>321389</v>
      </c>
      <c r="O184" s="2">
        <v>330425</v>
      </c>
      <c r="P184" s="2" t="s">
        <v>49</v>
      </c>
    </row>
    <row r="185" spans="1:16">
      <c r="A185">
        <v>2021</v>
      </c>
      <c r="B185" t="s">
        <v>36</v>
      </c>
      <c r="C185" t="s">
        <v>21</v>
      </c>
      <c r="D185" t="s">
        <v>38</v>
      </c>
      <c r="E185">
        <v>624</v>
      </c>
      <c r="F185">
        <v>3603</v>
      </c>
      <c r="G185">
        <v>9820</v>
      </c>
      <c r="H185">
        <v>1833</v>
      </c>
      <c r="I185" t="s">
        <v>18</v>
      </c>
      <c r="J185" s="21">
        <f ca="1">DATE(Table2[[#This Row],[Year]],MONTH(1 &amp; Table2[[#This Row],[Month]]),RANDBETWEEN(1,30))</f>
        <v>44260</v>
      </c>
      <c r="L185" s="2">
        <v>2023</v>
      </c>
      <c r="M185" s="2" t="s">
        <v>55</v>
      </c>
      <c r="N185" s="2">
        <v>328115</v>
      </c>
      <c r="O185" s="2">
        <v>204544</v>
      </c>
      <c r="P185" s="2" t="s">
        <v>59</v>
      </c>
    </row>
    <row r="186" spans="1:16">
      <c r="A186">
        <v>2021</v>
      </c>
      <c r="B186" t="s">
        <v>36</v>
      </c>
      <c r="C186" t="s">
        <v>23</v>
      </c>
      <c r="D186" t="s">
        <v>39</v>
      </c>
      <c r="E186">
        <v>1169</v>
      </c>
      <c r="F186">
        <v>2752</v>
      </c>
      <c r="G186">
        <v>4023</v>
      </c>
      <c r="H186">
        <v>537</v>
      </c>
      <c r="I186" t="s">
        <v>12</v>
      </c>
      <c r="J186" s="21">
        <f ca="1">DATE(Table2[[#This Row],[Year]],MONTH(1 &amp; Table2[[#This Row],[Month]]),RANDBETWEEN(1,30))</f>
        <v>44256</v>
      </c>
      <c r="L186" s="2">
        <v>2022</v>
      </c>
      <c r="M186" s="2" t="s">
        <v>51</v>
      </c>
      <c r="N186" s="2">
        <v>184043</v>
      </c>
      <c r="O186" s="2">
        <v>524149</v>
      </c>
      <c r="P186" s="2" t="s">
        <v>50</v>
      </c>
    </row>
    <row r="187" spans="1:16">
      <c r="A187">
        <v>2021</v>
      </c>
      <c r="B187" t="s">
        <v>36</v>
      </c>
      <c r="C187" t="s">
        <v>25</v>
      </c>
      <c r="D187" t="s">
        <v>43</v>
      </c>
      <c r="E187">
        <v>2521</v>
      </c>
      <c r="F187">
        <v>1433</v>
      </c>
      <c r="G187">
        <v>10230</v>
      </c>
      <c r="H187">
        <v>958</v>
      </c>
      <c r="I187" t="s">
        <v>28</v>
      </c>
      <c r="J187" s="21">
        <f ca="1">DATE(Table2[[#This Row],[Year]],MONTH(1 &amp; Table2[[#This Row],[Month]]),RANDBETWEEN(1,30))</f>
        <v>44280</v>
      </c>
      <c r="L187" s="2">
        <v>2022</v>
      </c>
      <c r="M187" s="2" t="s">
        <v>52</v>
      </c>
      <c r="N187" s="2">
        <v>396909</v>
      </c>
      <c r="O187" s="2">
        <v>455547</v>
      </c>
      <c r="P187" s="2" t="s">
        <v>53</v>
      </c>
    </row>
    <row r="188" spans="1:16">
      <c r="A188">
        <v>2021</v>
      </c>
      <c r="B188" t="s">
        <v>36</v>
      </c>
      <c r="C188" t="s">
        <v>23</v>
      </c>
      <c r="D188" t="s">
        <v>38</v>
      </c>
      <c r="E188">
        <v>907</v>
      </c>
      <c r="F188">
        <v>6290</v>
      </c>
      <c r="G188">
        <v>7801</v>
      </c>
      <c r="H188">
        <v>1040</v>
      </c>
      <c r="I188" t="s">
        <v>12</v>
      </c>
      <c r="J188" s="21">
        <f ca="1">DATE(Table2[[#This Row],[Year]],MONTH(1 &amp; Table2[[#This Row],[Month]]),RANDBETWEEN(1,30))</f>
        <v>44285</v>
      </c>
      <c r="L188" s="2">
        <v>2022</v>
      </c>
      <c r="M188" s="2" t="s">
        <v>54</v>
      </c>
      <c r="N188" s="2">
        <v>110080</v>
      </c>
      <c r="O188" s="2">
        <v>422759</v>
      </c>
      <c r="P188" s="2" t="s">
        <v>59</v>
      </c>
    </row>
    <row r="189" spans="1:16">
      <c r="A189">
        <v>2021</v>
      </c>
      <c r="B189" t="s">
        <v>36</v>
      </c>
      <c r="C189" t="s">
        <v>25</v>
      </c>
      <c r="D189" t="s">
        <v>11</v>
      </c>
      <c r="E189">
        <v>1072</v>
      </c>
      <c r="F189">
        <v>9829</v>
      </c>
      <c r="G189">
        <v>10792</v>
      </c>
      <c r="H189">
        <v>1867</v>
      </c>
      <c r="I189" t="s">
        <v>12</v>
      </c>
      <c r="J189" s="21">
        <f ca="1">DATE(Table2[[#This Row],[Year]],MONTH(1 &amp; Table2[[#This Row],[Month]]),RANDBETWEEN(1,30))</f>
        <v>44259</v>
      </c>
      <c r="L189" s="2">
        <v>2020</v>
      </c>
      <c r="M189" s="2" t="s">
        <v>52</v>
      </c>
      <c r="N189" s="2">
        <v>241933</v>
      </c>
      <c r="O189" s="2">
        <v>683484</v>
      </c>
      <c r="P189" s="2" t="s">
        <v>53</v>
      </c>
    </row>
    <row r="190" spans="1:16">
      <c r="A190">
        <v>2021</v>
      </c>
      <c r="B190" t="s">
        <v>36</v>
      </c>
      <c r="C190" t="s">
        <v>10</v>
      </c>
      <c r="D190" t="s">
        <v>11</v>
      </c>
      <c r="E190">
        <v>2340</v>
      </c>
      <c r="F190">
        <v>4308</v>
      </c>
      <c r="G190">
        <v>3429</v>
      </c>
      <c r="H190">
        <v>2045</v>
      </c>
      <c r="I190" t="s">
        <v>28</v>
      </c>
      <c r="J190" s="21">
        <f ca="1">DATE(Table2[[#This Row],[Year]],MONTH(1 &amp; Table2[[#This Row],[Month]]),RANDBETWEEN(1,30))</f>
        <v>44271</v>
      </c>
      <c r="L190" s="2">
        <v>2020</v>
      </c>
      <c r="M190" s="2" t="s">
        <v>61</v>
      </c>
      <c r="N190" s="2">
        <v>412085</v>
      </c>
      <c r="O190" s="2">
        <v>485600</v>
      </c>
      <c r="P190" s="2" t="s">
        <v>59</v>
      </c>
    </row>
    <row r="191" spans="1:16">
      <c r="A191">
        <v>2021</v>
      </c>
      <c r="B191" t="s">
        <v>36</v>
      </c>
      <c r="C191" t="s">
        <v>29</v>
      </c>
      <c r="D191" t="s">
        <v>35</v>
      </c>
      <c r="E191">
        <v>693</v>
      </c>
      <c r="F191">
        <v>3853</v>
      </c>
      <c r="G191">
        <v>10247</v>
      </c>
      <c r="H191">
        <v>2692</v>
      </c>
      <c r="I191" t="s">
        <v>12</v>
      </c>
      <c r="J191" s="21">
        <f ca="1">DATE(Table2[[#This Row],[Year]],MONTH(1 &amp; Table2[[#This Row],[Month]]),RANDBETWEEN(1,30))</f>
        <v>44279</v>
      </c>
      <c r="L191" s="2">
        <v>2022</v>
      </c>
      <c r="M191" s="2" t="s">
        <v>54</v>
      </c>
      <c r="N191" s="2">
        <v>325557</v>
      </c>
      <c r="O191" s="2">
        <v>631716</v>
      </c>
      <c r="P191" s="2" t="s">
        <v>50</v>
      </c>
    </row>
    <row r="192" spans="1:16">
      <c r="A192">
        <v>2021</v>
      </c>
      <c r="B192" t="s">
        <v>36</v>
      </c>
      <c r="C192" t="s">
        <v>10</v>
      </c>
      <c r="D192" t="s">
        <v>16</v>
      </c>
      <c r="E192">
        <v>3814</v>
      </c>
      <c r="F192">
        <v>6769</v>
      </c>
      <c r="G192">
        <v>7031</v>
      </c>
      <c r="H192">
        <v>976</v>
      </c>
      <c r="I192" t="s">
        <v>12</v>
      </c>
      <c r="J192" s="21">
        <f ca="1">DATE(Table2[[#This Row],[Year]],MONTH(1 &amp; Table2[[#This Row],[Month]]),RANDBETWEEN(1,30))</f>
        <v>44256</v>
      </c>
      <c r="L192" s="2">
        <v>2025</v>
      </c>
      <c r="M192" s="2" t="s">
        <v>51</v>
      </c>
      <c r="N192" s="2">
        <v>204465</v>
      </c>
      <c r="O192" s="2">
        <v>269725</v>
      </c>
      <c r="P192" s="2" t="s">
        <v>59</v>
      </c>
    </row>
    <row r="193" spans="1:16">
      <c r="A193">
        <v>2021</v>
      </c>
      <c r="B193" t="s">
        <v>36</v>
      </c>
      <c r="C193" t="s">
        <v>29</v>
      </c>
      <c r="D193" t="s">
        <v>22</v>
      </c>
      <c r="E193">
        <v>3676</v>
      </c>
      <c r="F193">
        <v>6085</v>
      </c>
      <c r="G193">
        <v>4092</v>
      </c>
      <c r="H193">
        <v>1298</v>
      </c>
      <c r="I193" t="s">
        <v>18</v>
      </c>
      <c r="J193" s="21">
        <f ca="1">DATE(Table2[[#This Row],[Year]],MONTH(1 &amp; Table2[[#This Row],[Month]]),RANDBETWEEN(1,30))</f>
        <v>44259</v>
      </c>
      <c r="L193" s="2">
        <v>2021</v>
      </c>
      <c r="M193" s="2" t="s">
        <v>61</v>
      </c>
      <c r="N193" s="2">
        <v>377981</v>
      </c>
      <c r="O193" s="2">
        <v>484603</v>
      </c>
      <c r="P193" s="2" t="s">
        <v>53</v>
      </c>
    </row>
    <row r="194" spans="1:16">
      <c r="A194">
        <v>2021</v>
      </c>
      <c r="B194" t="s">
        <v>36</v>
      </c>
      <c r="C194" t="s">
        <v>21</v>
      </c>
      <c r="D194" t="s">
        <v>16</v>
      </c>
      <c r="E194">
        <v>268</v>
      </c>
      <c r="F194">
        <v>9985</v>
      </c>
      <c r="G194">
        <v>3018</v>
      </c>
      <c r="H194">
        <v>961</v>
      </c>
      <c r="I194" t="s">
        <v>12</v>
      </c>
      <c r="J194" s="21">
        <f ca="1">DATE(Table2[[#This Row],[Year]],MONTH(1 &amp; Table2[[#This Row],[Month]]),RANDBETWEEN(1,30))</f>
        <v>44277</v>
      </c>
      <c r="L194" s="2">
        <v>2023</v>
      </c>
      <c r="M194" s="2" t="s">
        <v>60</v>
      </c>
      <c r="N194" s="2">
        <v>326956</v>
      </c>
      <c r="O194" s="2">
        <v>633990</v>
      </c>
      <c r="P194" s="2" t="s">
        <v>59</v>
      </c>
    </row>
    <row r="195" spans="1:16">
      <c r="A195">
        <v>2021</v>
      </c>
      <c r="B195" t="s">
        <v>36</v>
      </c>
      <c r="C195" t="s">
        <v>23</v>
      </c>
      <c r="D195" t="s">
        <v>30</v>
      </c>
      <c r="E195">
        <v>2655</v>
      </c>
      <c r="F195">
        <v>1694</v>
      </c>
      <c r="G195">
        <v>5717</v>
      </c>
      <c r="H195">
        <v>1818</v>
      </c>
      <c r="I195" t="s">
        <v>28</v>
      </c>
      <c r="J195" s="21">
        <f ca="1">DATE(Table2[[#This Row],[Year]],MONTH(1 &amp; Table2[[#This Row],[Month]]),RANDBETWEEN(1,30))</f>
        <v>44259</v>
      </c>
      <c r="L195" s="2">
        <v>2022</v>
      </c>
      <c r="M195" s="2" t="s">
        <v>55</v>
      </c>
      <c r="N195" s="2">
        <v>418497</v>
      </c>
      <c r="O195" s="2">
        <v>491553</v>
      </c>
      <c r="P195" s="2" t="s">
        <v>50</v>
      </c>
    </row>
    <row r="196" spans="1:16">
      <c r="A196">
        <v>2021</v>
      </c>
      <c r="B196" t="s">
        <v>36</v>
      </c>
      <c r="C196" t="s">
        <v>21</v>
      </c>
      <c r="D196" t="s">
        <v>20</v>
      </c>
      <c r="E196">
        <v>3787</v>
      </c>
      <c r="F196">
        <v>5797</v>
      </c>
      <c r="G196">
        <v>9967</v>
      </c>
      <c r="H196">
        <v>1261</v>
      </c>
      <c r="I196" t="s">
        <v>18</v>
      </c>
      <c r="J196" s="21">
        <f ca="1">DATE(Table2[[#This Row],[Year]],MONTH(1 &amp; Table2[[#This Row],[Month]]),RANDBETWEEN(1,30))</f>
        <v>44273</v>
      </c>
      <c r="L196" s="2">
        <v>2020</v>
      </c>
      <c r="M196" s="2" t="s">
        <v>54</v>
      </c>
      <c r="N196" s="2">
        <v>394010</v>
      </c>
      <c r="O196" s="2">
        <v>559007</v>
      </c>
      <c r="P196" s="2" t="s">
        <v>49</v>
      </c>
    </row>
    <row r="197" spans="1:16">
      <c r="A197">
        <v>2021</v>
      </c>
      <c r="B197" t="s">
        <v>14</v>
      </c>
      <c r="C197" t="s">
        <v>25</v>
      </c>
      <c r="D197" t="s">
        <v>37</v>
      </c>
      <c r="E197">
        <v>3053</v>
      </c>
      <c r="F197">
        <v>5106</v>
      </c>
      <c r="G197">
        <v>4196</v>
      </c>
      <c r="H197">
        <v>2241</v>
      </c>
      <c r="I197" t="s">
        <v>18</v>
      </c>
      <c r="J197" s="21">
        <f ca="1">DATE(Table2[[#This Row],[Year]],MONTH(1 &amp; Table2[[#This Row],[Month]]),RANDBETWEEN(1,30))</f>
        <v>44296</v>
      </c>
      <c r="L197" s="2">
        <v>2020</v>
      </c>
      <c r="M197" s="2" t="s">
        <v>55</v>
      </c>
      <c r="N197" s="2">
        <v>344043</v>
      </c>
      <c r="O197" s="2">
        <v>386022</v>
      </c>
      <c r="P197" s="2" t="s">
        <v>53</v>
      </c>
    </row>
    <row r="198" spans="1:16">
      <c r="A198">
        <v>2021</v>
      </c>
      <c r="B198" t="s">
        <v>14</v>
      </c>
      <c r="C198" t="s">
        <v>10</v>
      </c>
      <c r="D198" t="s">
        <v>42</v>
      </c>
      <c r="E198">
        <v>3069</v>
      </c>
      <c r="F198">
        <v>5442</v>
      </c>
      <c r="G198">
        <v>3793</v>
      </c>
      <c r="H198">
        <v>394</v>
      </c>
      <c r="I198" t="s">
        <v>18</v>
      </c>
      <c r="J198" s="21">
        <f ca="1">DATE(Table2[[#This Row],[Year]],MONTH(1 &amp; Table2[[#This Row],[Month]]),RANDBETWEEN(1,30))</f>
        <v>44295</v>
      </c>
      <c r="L198" s="2">
        <v>2023</v>
      </c>
      <c r="M198" s="2" t="s">
        <v>54</v>
      </c>
      <c r="N198" s="2">
        <v>295271</v>
      </c>
      <c r="O198" s="2">
        <v>246225</v>
      </c>
      <c r="P198" s="2" t="s">
        <v>53</v>
      </c>
    </row>
    <row r="199" spans="1:16">
      <c r="A199">
        <v>2021</v>
      </c>
      <c r="B199" t="s">
        <v>14</v>
      </c>
      <c r="C199" t="s">
        <v>29</v>
      </c>
      <c r="D199" t="s">
        <v>37</v>
      </c>
      <c r="E199">
        <v>1564</v>
      </c>
      <c r="F199">
        <v>3750</v>
      </c>
      <c r="G199">
        <v>4473</v>
      </c>
      <c r="H199">
        <v>229</v>
      </c>
      <c r="I199" t="s">
        <v>18</v>
      </c>
      <c r="J199" s="21">
        <f ca="1">DATE(Table2[[#This Row],[Year]],MONTH(1 &amp; Table2[[#This Row],[Month]]),RANDBETWEEN(1,30))</f>
        <v>44307</v>
      </c>
      <c r="L199" s="2">
        <v>2023</v>
      </c>
      <c r="M199" s="2" t="s">
        <v>61</v>
      </c>
      <c r="N199" s="2">
        <v>153273</v>
      </c>
      <c r="O199" s="2">
        <v>428950</v>
      </c>
      <c r="P199" s="2" t="s">
        <v>50</v>
      </c>
    </row>
    <row r="200" spans="1:16">
      <c r="A200">
        <v>2021</v>
      </c>
      <c r="B200" t="s">
        <v>14</v>
      </c>
      <c r="C200" t="s">
        <v>21</v>
      </c>
      <c r="D200" t="s">
        <v>20</v>
      </c>
      <c r="E200">
        <v>3029</v>
      </c>
      <c r="F200">
        <v>2660</v>
      </c>
      <c r="G200">
        <v>7167</v>
      </c>
      <c r="H200">
        <v>1869</v>
      </c>
      <c r="I200" t="s">
        <v>28</v>
      </c>
      <c r="J200" s="21">
        <f ca="1">DATE(Table2[[#This Row],[Year]],MONTH(1 &amp; Table2[[#This Row],[Month]]),RANDBETWEEN(1,30))</f>
        <v>44316</v>
      </c>
      <c r="L200" s="2">
        <v>2021</v>
      </c>
      <c r="M200" s="2" t="s">
        <v>56</v>
      </c>
      <c r="N200" s="2">
        <v>204533</v>
      </c>
      <c r="O200" s="2">
        <v>397240</v>
      </c>
      <c r="P200" s="2" t="s">
        <v>59</v>
      </c>
    </row>
    <row r="201" spans="1:16">
      <c r="A201">
        <v>2021</v>
      </c>
      <c r="B201" t="s">
        <v>14</v>
      </c>
      <c r="C201" t="s">
        <v>25</v>
      </c>
      <c r="D201" t="s">
        <v>26</v>
      </c>
      <c r="E201">
        <v>2878</v>
      </c>
      <c r="F201">
        <v>1299</v>
      </c>
      <c r="G201">
        <v>4026</v>
      </c>
      <c r="H201">
        <v>828</v>
      </c>
      <c r="I201" t="s">
        <v>28</v>
      </c>
      <c r="J201" s="21">
        <f ca="1">DATE(Table2[[#This Row],[Year]],MONTH(1 &amp; Table2[[#This Row],[Month]]),RANDBETWEEN(1,30))</f>
        <v>44288</v>
      </c>
      <c r="L201" s="2">
        <v>2020</v>
      </c>
      <c r="M201" s="2" t="s">
        <v>56</v>
      </c>
      <c r="N201" s="2">
        <v>267640</v>
      </c>
      <c r="O201" s="2">
        <v>633530</v>
      </c>
      <c r="P201" s="2" t="s">
        <v>49</v>
      </c>
    </row>
    <row r="202" spans="1:16">
      <c r="A202">
        <v>2021</v>
      </c>
      <c r="B202" t="s">
        <v>14</v>
      </c>
      <c r="C202" t="s">
        <v>29</v>
      </c>
      <c r="D202" t="s">
        <v>11</v>
      </c>
      <c r="E202">
        <v>3308</v>
      </c>
      <c r="F202">
        <v>6783</v>
      </c>
      <c r="G202">
        <v>4209</v>
      </c>
      <c r="H202">
        <v>717</v>
      </c>
      <c r="I202" t="s">
        <v>12</v>
      </c>
      <c r="J202" s="21">
        <f ca="1">DATE(Table2[[#This Row],[Year]],MONTH(1 &amp; Table2[[#This Row],[Month]]),RANDBETWEEN(1,30))</f>
        <v>44297</v>
      </c>
      <c r="L202" s="2">
        <v>2024</v>
      </c>
      <c r="M202" s="2" t="s">
        <v>57</v>
      </c>
      <c r="N202" s="2">
        <v>339720</v>
      </c>
      <c r="O202" s="2">
        <v>321998</v>
      </c>
      <c r="P202" s="2" t="s">
        <v>50</v>
      </c>
    </row>
    <row r="203" spans="1:16">
      <c r="A203">
        <v>2021</v>
      </c>
      <c r="B203" t="s">
        <v>14</v>
      </c>
      <c r="C203" t="s">
        <v>21</v>
      </c>
      <c r="D203" t="s">
        <v>38</v>
      </c>
      <c r="E203">
        <v>1076</v>
      </c>
      <c r="F203">
        <v>6452</v>
      </c>
      <c r="G203">
        <v>5505</v>
      </c>
      <c r="H203">
        <v>1540</v>
      </c>
      <c r="I203" t="s">
        <v>28</v>
      </c>
      <c r="J203" s="21">
        <f ca="1">DATE(Table2[[#This Row],[Year]],MONTH(1 &amp; Table2[[#This Row],[Month]]),RANDBETWEEN(1,30))</f>
        <v>44316</v>
      </c>
      <c r="L203" s="2">
        <v>2024</v>
      </c>
      <c r="M203" s="2" t="s">
        <v>48</v>
      </c>
      <c r="N203" s="2">
        <v>305483</v>
      </c>
      <c r="O203" s="2">
        <v>683367</v>
      </c>
      <c r="P203" s="2" t="s">
        <v>49</v>
      </c>
    </row>
    <row r="204" spans="1:16">
      <c r="A204">
        <v>2021</v>
      </c>
      <c r="B204" t="s">
        <v>33</v>
      </c>
      <c r="C204" t="s">
        <v>29</v>
      </c>
      <c r="D204" t="s">
        <v>37</v>
      </c>
      <c r="E204">
        <v>1819</v>
      </c>
      <c r="F204">
        <v>9345</v>
      </c>
      <c r="G204">
        <v>9379</v>
      </c>
      <c r="H204">
        <v>2181</v>
      </c>
      <c r="I204" t="s">
        <v>12</v>
      </c>
      <c r="J204" s="21">
        <f ca="1">DATE(Table2[[#This Row],[Year]],MONTH(1 &amp; Table2[[#This Row],[Month]]),RANDBETWEEN(1,30))</f>
        <v>44319</v>
      </c>
      <c r="L204" s="2">
        <v>2021</v>
      </c>
      <c r="M204" s="2" t="s">
        <v>57</v>
      </c>
      <c r="N204" s="2">
        <v>215274</v>
      </c>
      <c r="O204" s="2">
        <v>679069</v>
      </c>
      <c r="P204" s="2" t="s">
        <v>50</v>
      </c>
    </row>
    <row r="205" spans="1:16">
      <c r="A205">
        <v>2021</v>
      </c>
      <c r="B205" t="s">
        <v>33</v>
      </c>
      <c r="C205" t="s">
        <v>29</v>
      </c>
      <c r="D205" t="s">
        <v>39</v>
      </c>
      <c r="E205">
        <v>464</v>
      </c>
      <c r="F205">
        <v>5996</v>
      </c>
      <c r="G205">
        <v>6370</v>
      </c>
      <c r="H205">
        <v>1166</v>
      </c>
      <c r="I205" t="s">
        <v>12</v>
      </c>
      <c r="J205" s="21">
        <f ca="1">DATE(Table2[[#This Row],[Year]],MONTH(1 &amp; Table2[[#This Row],[Month]]),RANDBETWEEN(1,30))</f>
        <v>44323</v>
      </c>
      <c r="L205" s="2">
        <v>2023</v>
      </c>
      <c r="M205" s="2" t="s">
        <v>48</v>
      </c>
      <c r="N205" s="2">
        <v>102586</v>
      </c>
      <c r="O205" s="2">
        <v>323816</v>
      </c>
      <c r="P205" s="2" t="s">
        <v>53</v>
      </c>
    </row>
    <row r="206" spans="1:16">
      <c r="A206">
        <v>2021</v>
      </c>
      <c r="B206" t="s">
        <v>33</v>
      </c>
      <c r="C206" t="s">
        <v>23</v>
      </c>
      <c r="D206" t="s">
        <v>16</v>
      </c>
      <c r="E206">
        <v>2076</v>
      </c>
      <c r="F206">
        <v>6913</v>
      </c>
      <c r="G206">
        <v>10759</v>
      </c>
      <c r="H206">
        <v>2044</v>
      </c>
      <c r="I206" t="s">
        <v>12</v>
      </c>
      <c r="J206" s="21">
        <f ca="1">DATE(Table2[[#This Row],[Year]],MONTH(1 &amp; Table2[[#This Row],[Month]]),RANDBETWEEN(1,30))</f>
        <v>44317</v>
      </c>
      <c r="L206" s="2">
        <v>2020</v>
      </c>
      <c r="M206" s="2" t="s">
        <v>56</v>
      </c>
      <c r="N206" s="2">
        <v>298496</v>
      </c>
      <c r="O206" s="2">
        <v>374026</v>
      </c>
      <c r="P206" s="2" t="s">
        <v>59</v>
      </c>
    </row>
    <row r="207" spans="1:16">
      <c r="A207">
        <v>2021</v>
      </c>
      <c r="B207" t="s">
        <v>33</v>
      </c>
      <c r="C207" t="s">
        <v>23</v>
      </c>
      <c r="D207" t="s">
        <v>23</v>
      </c>
      <c r="E207">
        <v>3356</v>
      </c>
      <c r="F207">
        <v>8982</v>
      </c>
      <c r="G207">
        <v>10111</v>
      </c>
      <c r="H207">
        <v>1871</v>
      </c>
      <c r="I207" t="s">
        <v>28</v>
      </c>
      <c r="J207" s="21">
        <f ca="1">DATE(Table2[[#This Row],[Year]],MONTH(1 &amp; Table2[[#This Row],[Month]]),RANDBETWEEN(1,30))</f>
        <v>44322</v>
      </c>
      <c r="L207" s="2">
        <v>2023</v>
      </c>
      <c r="M207" s="2" t="s">
        <v>61</v>
      </c>
      <c r="N207" s="2">
        <v>214250</v>
      </c>
      <c r="O207" s="2">
        <v>647778</v>
      </c>
      <c r="P207" s="2" t="s">
        <v>49</v>
      </c>
    </row>
    <row r="208" spans="1:16">
      <c r="A208">
        <v>2021</v>
      </c>
      <c r="B208" t="s">
        <v>33</v>
      </c>
      <c r="C208" t="s">
        <v>15</v>
      </c>
      <c r="D208" t="s">
        <v>30</v>
      </c>
      <c r="E208">
        <v>886</v>
      </c>
      <c r="F208">
        <v>3520</v>
      </c>
      <c r="G208">
        <v>9234</v>
      </c>
      <c r="H208">
        <v>1211</v>
      </c>
      <c r="I208" t="s">
        <v>12</v>
      </c>
      <c r="J208" s="21">
        <f ca="1">DATE(Table2[[#This Row],[Year]],MONTH(1 &amp; Table2[[#This Row],[Month]]),RANDBETWEEN(1,30))</f>
        <v>44330</v>
      </c>
      <c r="L208" s="2">
        <v>2020</v>
      </c>
      <c r="M208" s="2" t="s">
        <v>48</v>
      </c>
      <c r="N208" s="2">
        <v>393843</v>
      </c>
      <c r="O208" s="2">
        <v>683311</v>
      </c>
      <c r="P208" s="2" t="s">
        <v>49</v>
      </c>
    </row>
    <row r="209" spans="1:16">
      <c r="A209">
        <v>2021</v>
      </c>
      <c r="B209" t="s">
        <v>33</v>
      </c>
      <c r="C209" t="s">
        <v>29</v>
      </c>
      <c r="D209" t="s">
        <v>39</v>
      </c>
      <c r="E209">
        <v>3167</v>
      </c>
      <c r="F209">
        <v>5547</v>
      </c>
      <c r="G209">
        <v>6328</v>
      </c>
      <c r="H209">
        <v>1321</v>
      </c>
      <c r="I209" t="s">
        <v>18</v>
      </c>
      <c r="J209" s="21">
        <f ca="1">DATE(Table2[[#This Row],[Year]],MONTH(1 &amp; Table2[[#This Row],[Month]]),RANDBETWEEN(1,30))</f>
        <v>44326</v>
      </c>
      <c r="L209" s="2">
        <v>2021</v>
      </c>
      <c r="M209" s="2" t="s">
        <v>56</v>
      </c>
      <c r="N209" s="2">
        <v>109579</v>
      </c>
      <c r="O209" s="2">
        <v>421720</v>
      </c>
      <c r="P209" s="2" t="s">
        <v>50</v>
      </c>
    </row>
    <row r="210" spans="1:16">
      <c r="A210">
        <v>2021</v>
      </c>
      <c r="B210" t="s">
        <v>33</v>
      </c>
      <c r="C210" t="s">
        <v>15</v>
      </c>
      <c r="D210" t="s">
        <v>39</v>
      </c>
      <c r="E210">
        <v>1276</v>
      </c>
      <c r="F210">
        <v>3851</v>
      </c>
      <c r="G210">
        <v>10328</v>
      </c>
      <c r="H210">
        <v>1555</v>
      </c>
      <c r="I210" t="s">
        <v>18</v>
      </c>
      <c r="J210" s="21">
        <f ca="1">DATE(Table2[[#This Row],[Year]],MONTH(1 &amp; Table2[[#This Row],[Month]]),RANDBETWEEN(1,30))</f>
        <v>44329</v>
      </c>
      <c r="L210" s="2">
        <v>2025</v>
      </c>
      <c r="M210" s="2" t="s">
        <v>60</v>
      </c>
      <c r="N210" s="2">
        <v>333931</v>
      </c>
      <c r="O210" s="2">
        <v>360499</v>
      </c>
      <c r="P210" s="2" t="s">
        <v>50</v>
      </c>
    </row>
    <row r="211" spans="1:16">
      <c r="A211">
        <v>2021</v>
      </c>
      <c r="B211" t="s">
        <v>33</v>
      </c>
      <c r="C211" t="s">
        <v>29</v>
      </c>
      <c r="D211" t="s">
        <v>34</v>
      </c>
      <c r="E211">
        <v>3070</v>
      </c>
      <c r="F211">
        <v>9947</v>
      </c>
      <c r="G211">
        <v>2191</v>
      </c>
      <c r="H211">
        <v>1076</v>
      </c>
      <c r="I211" t="s">
        <v>18</v>
      </c>
      <c r="J211" s="21">
        <f ca="1">DATE(Table2[[#This Row],[Year]],MONTH(1 &amp; Table2[[#This Row],[Month]]),RANDBETWEEN(1,30))</f>
        <v>44330</v>
      </c>
      <c r="L211" s="2">
        <v>2022</v>
      </c>
      <c r="M211" s="2" t="s">
        <v>61</v>
      </c>
      <c r="N211" s="2">
        <v>476590</v>
      </c>
      <c r="O211" s="2">
        <v>463047</v>
      </c>
      <c r="P211" s="2" t="s">
        <v>53</v>
      </c>
    </row>
    <row r="212" spans="1:16">
      <c r="A212">
        <v>2021</v>
      </c>
      <c r="B212" t="s">
        <v>27</v>
      </c>
      <c r="C212" t="s">
        <v>10</v>
      </c>
      <c r="D212" t="s">
        <v>16</v>
      </c>
      <c r="E212">
        <v>3664</v>
      </c>
      <c r="F212">
        <v>2085</v>
      </c>
      <c r="G212">
        <v>3428</v>
      </c>
      <c r="H212">
        <v>236</v>
      </c>
      <c r="I212" t="s">
        <v>28</v>
      </c>
      <c r="J212" s="21">
        <f ca="1">DATE(Table2[[#This Row],[Year]],MONTH(1 &amp; Table2[[#This Row],[Month]]),RANDBETWEEN(1,30))</f>
        <v>44359</v>
      </c>
      <c r="L212" s="2">
        <v>2021</v>
      </c>
      <c r="M212" s="2" t="s">
        <v>58</v>
      </c>
      <c r="N212" s="2">
        <v>169764</v>
      </c>
      <c r="O212" s="2">
        <v>543885</v>
      </c>
      <c r="P212" s="2" t="s">
        <v>49</v>
      </c>
    </row>
    <row r="213" spans="1:16">
      <c r="A213">
        <v>2021</v>
      </c>
      <c r="B213" t="s">
        <v>27</v>
      </c>
      <c r="C213" t="s">
        <v>21</v>
      </c>
      <c r="D213" t="s">
        <v>26</v>
      </c>
      <c r="E213">
        <v>3742</v>
      </c>
      <c r="F213">
        <v>1560</v>
      </c>
      <c r="G213">
        <v>3952</v>
      </c>
      <c r="H213">
        <v>2481</v>
      </c>
      <c r="I213" t="s">
        <v>28</v>
      </c>
      <c r="J213" s="21">
        <f ca="1">DATE(Table2[[#This Row],[Year]],MONTH(1 &amp; Table2[[#This Row],[Month]]),RANDBETWEEN(1,30))</f>
        <v>44371</v>
      </c>
      <c r="L213" s="2">
        <v>2023</v>
      </c>
      <c r="M213" s="2" t="s">
        <v>55</v>
      </c>
      <c r="N213" s="2">
        <v>288660</v>
      </c>
      <c r="O213" s="2">
        <v>336737</v>
      </c>
      <c r="P213" s="2" t="s">
        <v>50</v>
      </c>
    </row>
    <row r="214" spans="1:16">
      <c r="A214">
        <v>2021</v>
      </c>
      <c r="B214" t="s">
        <v>27</v>
      </c>
      <c r="C214" t="s">
        <v>23</v>
      </c>
      <c r="D214" t="s">
        <v>16</v>
      </c>
      <c r="E214">
        <v>3386</v>
      </c>
      <c r="F214">
        <v>2094</v>
      </c>
      <c r="G214">
        <v>7783</v>
      </c>
      <c r="H214">
        <v>1564</v>
      </c>
      <c r="I214" t="s">
        <v>12</v>
      </c>
      <c r="J214" s="21">
        <f ca="1">DATE(Table2[[#This Row],[Year]],MONTH(1 &amp; Table2[[#This Row],[Month]]),RANDBETWEEN(1,30))</f>
        <v>44366</v>
      </c>
      <c r="L214" s="2">
        <v>2023</v>
      </c>
      <c r="M214" s="2" t="s">
        <v>56</v>
      </c>
      <c r="N214" s="2">
        <v>136569</v>
      </c>
      <c r="O214" s="2">
        <v>568237</v>
      </c>
      <c r="P214" s="2" t="s">
        <v>50</v>
      </c>
    </row>
    <row r="215" spans="1:16">
      <c r="A215">
        <v>2021</v>
      </c>
      <c r="B215" t="s">
        <v>27</v>
      </c>
      <c r="C215" t="s">
        <v>15</v>
      </c>
      <c r="D215" t="s">
        <v>20</v>
      </c>
      <c r="E215">
        <v>783</v>
      </c>
      <c r="F215">
        <v>7551</v>
      </c>
      <c r="G215">
        <v>7069</v>
      </c>
      <c r="H215">
        <v>1815</v>
      </c>
      <c r="I215" t="s">
        <v>28</v>
      </c>
      <c r="J215" s="21">
        <f ca="1">DATE(Table2[[#This Row],[Year]],MONTH(1 &amp; Table2[[#This Row],[Month]]),RANDBETWEEN(1,30))</f>
        <v>44356</v>
      </c>
      <c r="L215" s="2">
        <v>2022</v>
      </c>
      <c r="M215" s="2" t="s">
        <v>57</v>
      </c>
      <c r="N215" s="2">
        <v>350273</v>
      </c>
      <c r="O215" s="2">
        <v>225829</v>
      </c>
      <c r="P215" s="2" t="s">
        <v>53</v>
      </c>
    </row>
    <row r="216" spans="1:16">
      <c r="A216">
        <v>2021</v>
      </c>
      <c r="B216" t="s">
        <v>27</v>
      </c>
      <c r="C216" t="s">
        <v>15</v>
      </c>
      <c r="D216" t="s">
        <v>43</v>
      </c>
      <c r="E216">
        <v>2239</v>
      </c>
      <c r="F216">
        <v>7786</v>
      </c>
      <c r="G216">
        <v>8377</v>
      </c>
      <c r="H216">
        <v>297</v>
      </c>
      <c r="I216" t="s">
        <v>28</v>
      </c>
      <c r="J216" s="21">
        <f ca="1">DATE(Table2[[#This Row],[Year]],MONTH(1 &amp; Table2[[#This Row],[Month]]),RANDBETWEEN(1,30))</f>
        <v>44367</v>
      </c>
      <c r="L216" s="2">
        <v>2022</v>
      </c>
      <c r="M216" s="2" t="s">
        <v>54</v>
      </c>
      <c r="N216" s="2">
        <v>320213</v>
      </c>
      <c r="O216" s="2">
        <v>224647</v>
      </c>
      <c r="P216" s="2" t="s">
        <v>59</v>
      </c>
    </row>
    <row r="217" spans="1:16">
      <c r="A217">
        <v>2021</v>
      </c>
      <c r="B217" t="s">
        <v>27</v>
      </c>
      <c r="C217" t="s">
        <v>25</v>
      </c>
      <c r="D217" t="s">
        <v>34</v>
      </c>
      <c r="E217">
        <v>714</v>
      </c>
      <c r="F217">
        <v>7972</v>
      </c>
      <c r="G217">
        <v>6580</v>
      </c>
      <c r="H217">
        <v>2647</v>
      </c>
      <c r="I217" t="s">
        <v>28</v>
      </c>
      <c r="J217" s="21">
        <f ca="1">DATE(Table2[[#This Row],[Year]],MONTH(1 &amp; Table2[[#This Row],[Month]]),RANDBETWEEN(1,30))</f>
        <v>44371</v>
      </c>
      <c r="L217" s="2">
        <v>2022</v>
      </c>
      <c r="M217" s="2" t="s">
        <v>48</v>
      </c>
      <c r="N217" s="2">
        <v>262946</v>
      </c>
      <c r="O217" s="2">
        <v>393144</v>
      </c>
      <c r="P217" s="2" t="s">
        <v>53</v>
      </c>
    </row>
    <row r="218" spans="1:16">
      <c r="A218">
        <v>2021</v>
      </c>
      <c r="B218" t="s">
        <v>27</v>
      </c>
      <c r="C218" t="s">
        <v>15</v>
      </c>
      <c r="D218" t="s">
        <v>30</v>
      </c>
      <c r="E218">
        <v>2767</v>
      </c>
      <c r="F218">
        <v>8485</v>
      </c>
      <c r="G218">
        <v>11465</v>
      </c>
      <c r="H218">
        <v>2727</v>
      </c>
      <c r="I218" t="s">
        <v>12</v>
      </c>
      <c r="J218" s="21">
        <f ca="1">DATE(Table2[[#This Row],[Year]],MONTH(1 &amp; Table2[[#This Row],[Month]]),RANDBETWEEN(1,30))</f>
        <v>44373</v>
      </c>
      <c r="L218" s="2">
        <v>2023</v>
      </c>
      <c r="M218" s="2" t="s">
        <v>61</v>
      </c>
      <c r="N218" s="2">
        <v>308551</v>
      </c>
      <c r="O218" s="2">
        <v>376737</v>
      </c>
      <c r="P218" s="2" t="s">
        <v>53</v>
      </c>
    </row>
    <row r="219" spans="1:16">
      <c r="A219">
        <v>2021</v>
      </c>
      <c r="B219" t="s">
        <v>27</v>
      </c>
      <c r="C219" t="s">
        <v>25</v>
      </c>
      <c r="D219" t="s">
        <v>20</v>
      </c>
      <c r="E219">
        <v>278</v>
      </c>
      <c r="F219">
        <v>2317</v>
      </c>
      <c r="G219">
        <v>7202</v>
      </c>
      <c r="H219">
        <v>2672</v>
      </c>
      <c r="I219" t="s">
        <v>18</v>
      </c>
      <c r="J219" s="21">
        <f ca="1">DATE(Table2[[#This Row],[Year]],MONTH(1 &amp; Table2[[#This Row],[Month]]),RANDBETWEEN(1,30))</f>
        <v>44375</v>
      </c>
      <c r="L219" s="2">
        <v>2021</v>
      </c>
      <c r="M219" s="2" t="s">
        <v>51</v>
      </c>
      <c r="N219" s="2">
        <v>458630</v>
      </c>
      <c r="O219" s="2">
        <v>357817</v>
      </c>
      <c r="P219" s="2" t="s">
        <v>53</v>
      </c>
    </row>
    <row r="220" spans="1:16">
      <c r="A220">
        <v>2021</v>
      </c>
      <c r="B220" t="s">
        <v>27</v>
      </c>
      <c r="C220" t="s">
        <v>10</v>
      </c>
      <c r="D220" t="s">
        <v>38</v>
      </c>
      <c r="E220">
        <v>814</v>
      </c>
      <c r="F220">
        <v>7010</v>
      </c>
      <c r="G220">
        <v>4003</v>
      </c>
      <c r="H220">
        <v>637</v>
      </c>
      <c r="I220" t="s">
        <v>12</v>
      </c>
      <c r="J220" s="21">
        <f ca="1">DATE(Table2[[#This Row],[Year]],MONTH(1 &amp; Table2[[#This Row],[Month]]),RANDBETWEEN(1,30))</f>
        <v>44376</v>
      </c>
      <c r="L220" s="2">
        <v>2024</v>
      </c>
      <c r="M220" s="2" t="s">
        <v>56</v>
      </c>
      <c r="N220" s="2">
        <v>178518</v>
      </c>
      <c r="O220" s="2">
        <v>445510</v>
      </c>
      <c r="P220" s="2" t="s">
        <v>49</v>
      </c>
    </row>
    <row r="221" spans="1:16">
      <c r="A221">
        <v>2021</v>
      </c>
      <c r="B221" t="s">
        <v>27</v>
      </c>
      <c r="C221" t="s">
        <v>25</v>
      </c>
      <c r="D221" t="s">
        <v>37</v>
      </c>
      <c r="E221">
        <v>3179</v>
      </c>
      <c r="F221">
        <v>5473</v>
      </c>
      <c r="G221">
        <v>2729</v>
      </c>
      <c r="H221">
        <v>1878</v>
      </c>
      <c r="I221" t="s">
        <v>18</v>
      </c>
      <c r="J221" s="21">
        <f ca="1">DATE(Table2[[#This Row],[Year]],MONTH(1 &amp; Table2[[#This Row],[Month]]),RANDBETWEEN(1,30))</f>
        <v>44367</v>
      </c>
      <c r="L221" s="2">
        <v>2022</v>
      </c>
      <c r="M221" s="2" t="s">
        <v>57</v>
      </c>
      <c r="N221" s="2">
        <v>109026</v>
      </c>
      <c r="O221" s="2">
        <v>360367</v>
      </c>
      <c r="P221" s="2" t="s">
        <v>50</v>
      </c>
    </row>
    <row r="222" spans="1:16">
      <c r="A222">
        <v>2021</v>
      </c>
      <c r="B222" t="s">
        <v>27</v>
      </c>
      <c r="C222" t="s">
        <v>10</v>
      </c>
      <c r="D222" t="s">
        <v>22</v>
      </c>
      <c r="E222">
        <v>470</v>
      </c>
      <c r="F222">
        <v>5743</v>
      </c>
      <c r="G222">
        <v>2044</v>
      </c>
      <c r="H222">
        <v>1114</v>
      </c>
      <c r="I222" t="s">
        <v>12</v>
      </c>
      <c r="J222" s="21">
        <f ca="1">DATE(Table2[[#This Row],[Year]],MONTH(1 &amp; Table2[[#This Row],[Month]]),RANDBETWEEN(1,30))</f>
        <v>44348</v>
      </c>
      <c r="L222" s="2">
        <v>2020</v>
      </c>
      <c r="M222" s="2" t="s">
        <v>55</v>
      </c>
      <c r="N222" s="2">
        <v>444666</v>
      </c>
      <c r="O222" s="2">
        <v>296129</v>
      </c>
      <c r="P222" s="2" t="s">
        <v>49</v>
      </c>
    </row>
    <row r="223" spans="1:16">
      <c r="A223">
        <v>2021</v>
      </c>
      <c r="B223" t="s">
        <v>40</v>
      </c>
      <c r="C223" t="s">
        <v>21</v>
      </c>
      <c r="D223" t="s">
        <v>35</v>
      </c>
      <c r="E223">
        <v>1245</v>
      </c>
      <c r="F223">
        <v>5806</v>
      </c>
      <c r="G223">
        <v>5919</v>
      </c>
      <c r="H223">
        <v>2881</v>
      </c>
      <c r="I223" t="s">
        <v>12</v>
      </c>
      <c r="J223" s="21">
        <f ca="1">DATE(Table2[[#This Row],[Year]],MONTH(1 &amp; Table2[[#This Row],[Month]]),RANDBETWEEN(1,30))</f>
        <v>44400</v>
      </c>
      <c r="L223" s="2">
        <v>2023</v>
      </c>
      <c r="M223" s="2" t="s">
        <v>51</v>
      </c>
      <c r="N223" s="2">
        <v>330847</v>
      </c>
      <c r="O223" s="2">
        <v>354735</v>
      </c>
      <c r="P223" s="2" t="s">
        <v>50</v>
      </c>
    </row>
    <row r="224" spans="1:16">
      <c r="A224">
        <v>2021</v>
      </c>
      <c r="B224" t="s">
        <v>40</v>
      </c>
      <c r="C224" t="s">
        <v>29</v>
      </c>
      <c r="D224" t="s">
        <v>17</v>
      </c>
      <c r="E224">
        <v>2849</v>
      </c>
      <c r="F224">
        <v>4424</v>
      </c>
      <c r="G224">
        <v>10626</v>
      </c>
      <c r="H224">
        <v>1329</v>
      </c>
      <c r="I224" t="s">
        <v>28</v>
      </c>
      <c r="J224" s="21">
        <f ca="1">DATE(Table2[[#This Row],[Year]],MONTH(1 &amp; Table2[[#This Row],[Month]]),RANDBETWEEN(1,30))</f>
        <v>44388</v>
      </c>
      <c r="L224" s="2">
        <v>2025</v>
      </c>
      <c r="M224" s="2" t="s">
        <v>61</v>
      </c>
      <c r="N224" s="2">
        <v>456263</v>
      </c>
      <c r="O224" s="2">
        <v>687452</v>
      </c>
      <c r="P224" s="2" t="s">
        <v>50</v>
      </c>
    </row>
    <row r="225" spans="1:16">
      <c r="A225">
        <v>2021</v>
      </c>
      <c r="B225" t="s">
        <v>40</v>
      </c>
      <c r="C225" t="s">
        <v>10</v>
      </c>
      <c r="D225" t="s">
        <v>34</v>
      </c>
      <c r="E225">
        <v>298</v>
      </c>
      <c r="F225">
        <v>4426</v>
      </c>
      <c r="G225">
        <v>6051</v>
      </c>
      <c r="H225">
        <v>254</v>
      </c>
      <c r="I225" t="s">
        <v>18</v>
      </c>
      <c r="J225" s="21">
        <f ca="1">DATE(Table2[[#This Row],[Year]],MONTH(1 &amp; Table2[[#This Row],[Month]]),RANDBETWEEN(1,30))</f>
        <v>44385</v>
      </c>
      <c r="L225" s="2">
        <v>2023</v>
      </c>
      <c r="M225" s="2" t="s">
        <v>60</v>
      </c>
      <c r="N225" s="2">
        <v>338778</v>
      </c>
      <c r="O225" s="2">
        <v>405557</v>
      </c>
      <c r="P225" s="2" t="s">
        <v>53</v>
      </c>
    </row>
    <row r="226" spans="1:16">
      <c r="A226">
        <v>2021</v>
      </c>
      <c r="B226" t="s">
        <v>40</v>
      </c>
      <c r="C226" t="s">
        <v>10</v>
      </c>
      <c r="D226" t="s">
        <v>39</v>
      </c>
      <c r="E226">
        <v>100</v>
      </c>
      <c r="F226">
        <v>4835</v>
      </c>
      <c r="G226">
        <v>3670</v>
      </c>
      <c r="H226">
        <v>1038</v>
      </c>
      <c r="I226" t="s">
        <v>18</v>
      </c>
      <c r="J226" s="21">
        <f ca="1">DATE(Table2[[#This Row],[Year]],MONTH(1 &amp; Table2[[#This Row],[Month]]),RANDBETWEEN(1,30))</f>
        <v>44396</v>
      </c>
      <c r="L226" s="2">
        <v>2021</v>
      </c>
      <c r="M226" s="2" t="s">
        <v>60</v>
      </c>
      <c r="N226" s="2">
        <v>424064</v>
      </c>
      <c r="O226" s="2">
        <v>422356</v>
      </c>
      <c r="P226" s="2" t="s">
        <v>59</v>
      </c>
    </row>
    <row r="227" spans="1:16">
      <c r="A227">
        <v>2021</v>
      </c>
      <c r="B227" t="s">
        <v>40</v>
      </c>
      <c r="C227" t="s">
        <v>29</v>
      </c>
      <c r="D227" t="s">
        <v>20</v>
      </c>
      <c r="E227">
        <v>115</v>
      </c>
      <c r="F227">
        <v>2829</v>
      </c>
      <c r="G227">
        <v>10979</v>
      </c>
      <c r="H227">
        <v>422</v>
      </c>
      <c r="I227" t="s">
        <v>12</v>
      </c>
      <c r="J227" s="21">
        <f ca="1">DATE(Table2[[#This Row],[Year]],MONTH(1 &amp; Table2[[#This Row],[Month]]),RANDBETWEEN(1,30))</f>
        <v>44405</v>
      </c>
      <c r="L227" s="2">
        <v>2021</v>
      </c>
      <c r="M227" s="2" t="s">
        <v>58</v>
      </c>
      <c r="N227" s="2">
        <v>271869</v>
      </c>
      <c r="O227" s="2">
        <v>488272</v>
      </c>
      <c r="P227" s="2" t="s">
        <v>59</v>
      </c>
    </row>
    <row r="228" spans="1:16">
      <c r="A228">
        <v>2021</v>
      </c>
      <c r="B228" t="s">
        <v>40</v>
      </c>
      <c r="C228" t="s">
        <v>23</v>
      </c>
      <c r="D228" t="s">
        <v>42</v>
      </c>
      <c r="E228">
        <v>1505</v>
      </c>
      <c r="F228">
        <v>3338</v>
      </c>
      <c r="G228">
        <v>7004</v>
      </c>
      <c r="H228">
        <v>1557</v>
      </c>
      <c r="I228" t="s">
        <v>12</v>
      </c>
      <c r="J228" s="21">
        <f ca="1">DATE(Table2[[#This Row],[Year]],MONTH(1 &amp; Table2[[#This Row],[Month]]),RANDBETWEEN(1,30))</f>
        <v>44398</v>
      </c>
      <c r="L228" s="2">
        <v>2022</v>
      </c>
      <c r="M228" s="2" t="s">
        <v>57</v>
      </c>
      <c r="N228" s="2">
        <v>399944</v>
      </c>
      <c r="O228" s="2">
        <v>691670</v>
      </c>
      <c r="P228" s="2" t="s">
        <v>59</v>
      </c>
    </row>
    <row r="229" spans="1:16">
      <c r="A229">
        <v>2021</v>
      </c>
      <c r="B229" t="s">
        <v>40</v>
      </c>
      <c r="C229" t="s">
        <v>23</v>
      </c>
      <c r="D229" t="s">
        <v>34</v>
      </c>
      <c r="E229">
        <v>2666</v>
      </c>
      <c r="F229">
        <v>2502</v>
      </c>
      <c r="G229">
        <v>10774</v>
      </c>
      <c r="H229">
        <v>2644</v>
      </c>
      <c r="I229" t="s">
        <v>12</v>
      </c>
      <c r="J229" s="21">
        <f ca="1">DATE(Table2[[#This Row],[Year]],MONTH(1 &amp; Table2[[#This Row],[Month]]),RANDBETWEEN(1,30))</f>
        <v>44391</v>
      </c>
      <c r="L229" s="2">
        <v>2025</v>
      </c>
      <c r="M229" s="2" t="s">
        <v>61</v>
      </c>
      <c r="N229" s="2">
        <v>465217</v>
      </c>
      <c r="O229" s="2">
        <v>320801</v>
      </c>
      <c r="P229" s="2" t="s">
        <v>49</v>
      </c>
    </row>
    <row r="230" spans="1:16">
      <c r="A230">
        <v>2021</v>
      </c>
      <c r="B230" t="s">
        <v>40</v>
      </c>
      <c r="C230" t="s">
        <v>21</v>
      </c>
      <c r="D230" t="s">
        <v>42</v>
      </c>
      <c r="E230">
        <v>3275</v>
      </c>
      <c r="F230">
        <v>1047</v>
      </c>
      <c r="G230">
        <v>11079</v>
      </c>
      <c r="H230">
        <v>2100</v>
      </c>
      <c r="I230" t="s">
        <v>12</v>
      </c>
      <c r="J230" s="21">
        <f ca="1">DATE(Table2[[#This Row],[Year]],MONTH(1 &amp; Table2[[#This Row],[Month]]),RANDBETWEEN(1,30))</f>
        <v>44397</v>
      </c>
      <c r="L230" s="2">
        <v>2023</v>
      </c>
      <c r="M230" s="2" t="s">
        <v>51</v>
      </c>
      <c r="N230" s="2">
        <v>328849</v>
      </c>
      <c r="O230" s="2">
        <v>540641</v>
      </c>
      <c r="P230" s="2" t="s">
        <v>49</v>
      </c>
    </row>
    <row r="231" spans="1:16">
      <c r="A231">
        <v>2021</v>
      </c>
      <c r="B231" t="s">
        <v>40</v>
      </c>
      <c r="C231" t="s">
        <v>23</v>
      </c>
      <c r="D231" t="s">
        <v>16</v>
      </c>
      <c r="E231">
        <v>135</v>
      </c>
      <c r="F231">
        <v>7598</v>
      </c>
      <c r="G231">
        <v>7936</v>
      </c>
      <c r="H231">
        <v>284</v>
      </c>
      <c r="I231" t="s">
        <v>18</v>
      </c>
      <c r="J231" s="21">
        <f ca="1">DATE(Table2[[#This Row],[Year]],MONTH(1 &amp; Table2[[#This Row],[Month]]),RANDBETWEEN(1,30))</f>
        <v>44395</v>
      </c>
      <c r="L231" s="2">
        <v>2020</v>
      </c>
      <c r="M231" s="2" t="s">
        <v>52</v>
      </c>
      <c r="N231" s="2">
        <v>172314</v>
      </c>
      <c r="O231" s="2">
        <v>557992</v>
      </c>
      <c r="P231" s="2" t="s">
        <v>59</v>
      </c>
    </row>
    <row r="232" spans="1:16">
      <c r="A232">
        <v>2021</v>
      </c>
      <c r="B232" t="s">
        <v>31</v>
      </c>
      <c r="C232" t="s">
        <v>29</v>
      </c>
      <c r="D232" t="s">
        <v>26</v>
      </c>
      <c r="E232">
        <v>3153</v>
      </c>
      <c r="F232">
        <v>2369</v>
      </c>
      <c r="G232">
        <v>5340</v>
      </c>
      <c r="H232">
        <v>1306</v>
      </c>
      <c r="I232" t="s">
        <v>28</v>
      </c>
      <c r="J232" s="21">
        <f ca="1">DATE(Table2[[#This Row],[Year]],MONTH(1 &amp; Table2[[#This Row],[Month]]),RANDBETWEEN(1,30))</f>
        <v>44429</v>
      </c>
      <c r="L232" s="2">
        <v>2022</v>
      </c>
      <c r="M232" s="2" t="s">
        <v>61</v>
      </c>
      <c r="N232" s="2">
        <v>207519</v>
      </c>
      <c r="O232" s="2">
        <v>503662</v>
      </c>
      <c r="P232" s="2" t="s">
        <v>59</v>
      </c>
    </row>
    <row r="233" spans="1:16">
      <c r="A233">
        <v>2021</v>
      </c>
      <c r="B233" t="s">
        <v>31</v>
      </c>
      <c r="C233" t="s">
        <v>29</v>
      </c>
      <c r="D233" t="s">
        <v>20</v>
      </c>
      <c r="E233">
        <v>2817</v>
      </c>
      <c r="F233">
        <v>1909</v>
      </c>
      <c r="G233">
        <v>11099</v>
      </c>
      <c r="H233">
        <v>483</v>
      </c>
      <c r="I233" t="s">
        <v>28</v>
      </c>
      <c r="J233" s="21">
        <f ca="1">DATE(Table2[[#This Row],[Year]],MONTH(1 &amp; Table2[[#This Row],[Month]]),RANDBETWEEN(1,30))</f>
        <v>44433</v>
      </c>
      <c r="L233" s="2">
        <v>2025</v>
      </c>
      <c r="M233" s="2" t="s">
        <v>54</v>
      </c>
      <c r="N233" s="2">
        <v>179458</v>
      </c>
      <c r="O233" s="2">
        <v>244289</v>
      </c>
      <c r="P233" s="2" t="s">
        <v>53</v>
      </c>
    </row>
    <row r="234" spans="1:16">
      <c r="A234">
        <v>2021</v>
      </c>
      <c r="B234" t="s">
        <v>31</v>
      </c>
      <c r="C234" t="s">
        <v>25</v>
      </c>
      <c r="D234" t="s">
        <v>26</v>
      </c>
      <c r="E234">
        <v>1602</v>
      </c>
      <c r="F234">
        <v>8054</v>
      </c>
      <c r="G234">
        <v>3901</v>
      </c>
      <c r="H234">
        <v>943</v>
      </c>
      <c r="I234" t="s">
        <v>18</v>
      </c>
      <c r="J234" s="21">
        <f ca="1">DATE(Table2[[#This Row],[Year]],MONTH(1 &amp; Table2[[#This Row],[Month]]),RANDBETWEEN(1,30))</f>
        <v>44431</v>
      </c>
      <c r="L234" s="2">
        <v>2021</v>
      </c>
      <c r="M234" s="2" t="s">
        <v>58</v>
      </c>
      <c r="N234" s="2">
        <v>198743</v>
      </c>
      <c r="O234" s="2">
        <v>538436</v>
      </c>
      <c r="P234" s="2" t="s">
        <v>53</v>
      </c>
    </row>
    <row r="235" spans="1:16">
      <c r="A235">
        <v>2021</v>
      </c>
      <c r="B235" t="s">
        <v>31</v>
      </c>
      <c r="C235" t="s">
        <v>23</v>
      </c>
      <c r="D235" t="s">
        <v>20</v>
      </c>
      <c r="E235">
        <v>1441</v>
      </c>
      <c r="F235">
        <v>2280</v>
      </c>
      <c r="G235">
        <v>9889</v>
      </c>
      <c r="H235">
        <v>842</v>
      </c>
      <c r="I235" t="s">
        <v>18</v>
      </c>
      <c r="J235" s="21">
        <f ca="1">DATE(Table2[[#This Row],[Year]],MONTH(1 &amp; Table2[[#This Row],[Month]]),RANDBETWEEN(1,30))</f>
        <v>44436</v>
      </c>
      <c r="L235" s="2">
        <v>2020</v>
      </c>
      <c r="M235" s="2" t="s">
        <v>52</v>
      </c>
      <c r="N235" s="2">
        <v>222566</v>
      </c>
      <c r="O235" s="2">
        <v>232047</v>
      </c>
      <c r="P235" s="2" t="s">
        <v>50</v>
      </c>
    </row>
    <row r="236" spans="1:16">
      <c r="A236">
        <v>2021</v>
      </c>
      <c r="B236" t="s">
        <v>31</v>
      </c>
      <c r="C236" t="s">
        <v>15</v>
      </c>
      <c r="D236" t="s">
        <v>11</v>
      </c>
      <c r="E236">
        <v>303</v>
      </c>
      <c r="F236">
        <v>9780</v>
      </c>
      <c r="G236">
        <v>10887</v>
      </c>
      <c r="H236">
        <v>1803</v>
      </c>
      <c r="I236" t="s">
        <v>18</v>
      </c>
      <c r="J236" s="21">
        <f ca="1">DATE(Table2[[#This Row],[Year]],MONTH(1 &amp; Table2[[#This Row],[Month]]),RANDBETWEEN(1,30))</f>
        <v>44412</v>
      </c>
      <c r="L236" s="2">
        <v>2021</v>
      </c>
      <c r="M236" s="2" t="s">
        <v>55</v>
      </c>
      <c r="N236" s="2">
        <v>322054</v>
      </c>
      <c r="O236" s="2">
        <v>498071</v>
      </c>
      <c r="P236" s="2" t="s">
        <v>49</v>
      </c>
    </row>
    <row r="237" spans="1:16">
      <c r="A237">
        <v>2021</v>
      </c>
      <c r="B237" t="s">
        <v>31</v>
      </c>
      <c r="C237" t="s">
        <v>29</v>
      </c>
      <c r="D237" t="s">
        <v>42</v>
      </c>
      <c r="E237">
        <v>331</v>
      </c>
      <c r="F237">
        <v>6682</v>
      </c>
      <c r="G237">
        <v>6911</v>
      </c>
      <c r="H237">
        <v>488</v>
      </c>
      <c r="I237" t="s">
        <v>12</v>
      </c>
      <c r="J237" s="21">
        <f ca="1">DATE(Table2[[#This Row],[Year]],MONTH(1 &amp; Table2[[#This Row],[Month]]),RANDBETWEEN(1,30))</f>
        <v>44421</v>
      </c>
      <c r="L237" s="2">
        <v>2022</v>
      </c>
      <c r="M237" s="2" t="s">
        <v>48</v>
      </c>
      <c r="N237" s="2">
        <v>335197</v>
      </c>
      <c r="O237" s="2">
        <v>569791</v>
      </c>
      <c r="P237" s="2" t="s">
        <v>49</v>
      </c>
    </row>
    <row r="238" spans="1:16">
      <c r="A238">
        <v>2021</v>
      </c>
      <c r="B238" t="s">
        <v>31</v>
      </c>
      <c r="C238" t="s">
        <v>29</v>
      </c>
      <c r="D238" t="s">
        <v>16</v>
      </c>
      <c r="E238">
        <v>2622</v>
      </c>
      <c r="F238">
        <v>9122</v>
      </c>
      <c r="G238">
        <v>8921</v>
      </c>
      <c r="H238">
        <v>1713</v>
      </c>
      <c r="I238" t="s">
        <v>18</v>
      </c>
      <c r="J238" s="21">
        <f ca="1">DATE(Table2[[#This Row],[Year]],MONTH(1 &amp; Table2[[#This Row],[Month]]),RANDBETWEEN(1,30))</f>
        <v>44425</v>
      </c>
      <c r="L238" s="2">
        <v>2020</v>
      </c>
      <c r="M238" s="2" t="s">
        <v>52</v>
      </c>
      <c r="N238" s="2">
        <v>270600</v>
      </c>
      <c r="O238" s="2">
        <v>305485</v>
      </c>
      <c r="P238" s="2" t="s">
        <v>59</v>
      </c>
    </row>
    <row r="239" spans="1:16">
      <c r="A239">
        <v>2021</v>
      </c>
      <c r="B239" t="s">
        <v>31</v>
      </c>
      <c r="C239" t="s">
        <v>23</v>
      </c>
      <c r="D239" t="s">
        <v>35</v>
      </c>
      <c r="E239">
        <v>245</v>
      </c>
      <c r="F239">
        <v>8923</v>
      </c>
      <c r="G239">
        <v>4719</v>
      </c>
      <c r="H239">
        <v>2673</v>
      </c>
      <c r="I239" t="s">
        <v>28</v>
      </c>
      <c r="J239" s="21">
        <f ca="1">DATE(Table2[[#This Row],[Year]],MONTH(1 &amp; Table2[[#This Row],[Month]]),RANDBETWEEN(1,30))</f>
        <v>44424</v>
      </c>
      <c r="L239" s="2">
        <v>2021</v>
      </c>
      <c r="M239" s="2" t="s">
        <v>52</v>
      </c>
      <c r="N239" s="2">
        <v>346168</v>
      </c>
      <c r="O239" s="2">
        <v>620811</v>
      </c>
      <c r="P239" s="2" t="s">
        <v>49</v>
      </c>
    </row>
    <row r="240" spans="1:16">
      <c r="A240">
        <v>2021</v>
      </c>
      <c r="B240" t="s">
        <v>31</v>
      </c>
      <c r="C240" t="s">
        <v>25</v>
      </c>
      <c r="D240" t="s">
        <v>38</v>
      </c>
      <c r="E240">
        <v>401</v>
      </c>
      <c r="F240">
        <v>5241</v>
      </c>
      <c r="G240">
        <v>9379</v>
      </c>
      <c r="H240">
        <v>481</v>
      </c>
      <c r="I240" t="s">
        <v>12</v>
      </c>
      <c r="J240" s="21">
        <f ca="1">DATE(Table2[[#This Row],[Year]],MONTH(1 &amp; Table2[[#This Row],[Month]]),RANDBETWEEN(1,30))</f>
        <v>44419</v>
      </c>
      <c r="L240" s="2">
        <v>2023</v>
      </c>
      <c r="M240" s="2" t="s">
        <v>57</v>
      </c>
      <c r="N240" s="2">
        <v>132630</v>
      </c>
      <c r="O240" s="2">
        <v>215177</v>
      </c>
      <c r="P240" s="2" t="s">
        <v>53</v>
      </c>
    </row>
    <row r="241" spans="1:16">
      <c r="A241">
        <v>2021</v>
      </c>
      <c r="B241" t="s">
        <v>31</v>
      </c>
      <c r="C241" t="s">
        <v>25</v>
      </c>
      <c r="D241" t="s">
        <v>30</v>
      </c>
      <c r="E241">
        <v>2500</v>
      </c>
      <c r="F241">
        <v>8115</v>
      </c>
      <c r="G241">
        <v>3877</v>
      </c>
      <c r="H241">
        <v>1147</v>
      </c>
      <c r="I241" t="s">
        <v>28</v>
      </c>
      <c r="J241" s="21">
        <f ca="1">DATE(Table2[[#This Row],[Year]],MONTH(1 &amp; Table2[[#This Row],[Month]]),RANDBETWEEN(1,30))</f>
        <v>44436</v>
      </c>
      <c r="L241" s="2">
        <v>2023</v>
      </c>
      <c r="M241" s="2" t="s">
        <v>51</v>
      </c>
      <c r="N241" s="2">
        <v>135115</v>
      </c>
      <c r="O241" s="2">
        <v>621906</v>
      </c>
      <c r="P241" s="2" t="s">
        <v>53</v>
      </c>
    </row>
    <row r="242" spans="1:16">
      <c r="A242">
        <v>2021</v>
      </c>
      <c r="B242" t="s">
        <v>31</v>
      </c>
      <c r="C242" t="s">
        <v>25</v>
      </c>
      <c r="D242" t="s">
        <v>16</v>
      </c>
      <c r="E242">
        <v>521</v>
      </c>
      <c r="F242">
        <v>2597</v>
      </c>
      <c r="G242">
        <v>8309</v>
      </c>
      <c r="H242">
        <v>341</v>
      </c>
      <c r="I242" t="s">
        <v>18</v>
      </c>
      <c r="J242" s="21">
        <f ca="1">DATE(Table2[[#This Row],[Year]],MONTH(1 &amp; Table2[[#This Row],[Month]]),RANDBETWEEN(1,30))</f>
        <v>44414</v>
      </c>
      <c r="L242" s="2">
        <v>2025</v>
      </c>
      <c r="M242" s="2" t="s">
        <v>51</v>
      </c>
      <c r="N242" s="2">
        <v>168732</v>
      </c>
      <c r="O242" s="2">
        <v>430165</v>
      </c>
      <c r="P242" s="2" t="s">
        <v>59</v>
      </c>
    </row>
    <row r="243" spans="1:16">
      <c r="A243">
        <v>2021</v>
      </c>
      <c r="B243" t="s">
        <v>31</v>
      </c>
      <c r="C243" t="s">
        <v>23</v>
      </c>
      <c r="D243" t="s">
        <v>37</v>
      </c>
      <c r="E243">
        <v>3665</v>
      </c>
      <c r="F243">
        <v>6294</v>
      </c>
      <c r="G243">
        <v>9289</v>
      </c>
      <c r="H243">
        <v>373</v>
      </c>
      <c r="I243" t="s">
        <v>18</v>
      </c>
      <c r="J243" s="21">
        <f ca="1">DATE(Table2[[#This Row],[Year]],MONTH(1 &amp; Table2[[#This Row],[Month]]),RANDBETWEEN(1,30))</f>
        <v>44414</v>
      </c>
      <c r="L243" s="2">
        <v>2022</v>
      </c>
      <c r="M243" s="2" t="s">
        <v>54</v>
      </c>
      <c r="N243" s="2">
        <v>307231</v>
      </c>
      <c r="O243" s="2">
        <v>308794</v>
      </c>
      <c r="P243" s="2" t="s">
        <v>59</v>
      </c>
    </row>
    <row r="244" spans="1:16">
      <c r="A244">
        <v>2021</v>
      </c>
      <c r="B244" t="s">
        <v>31</v>
      </c>
      <c r="C244" t="s">
        <v>10</v>
      </c>
      <c r="D244" t="s">
        <v>16</v>
      </c>
      <c r="E244">
        <v>1074</v>
      </c>
      <c r="F244">
        <v>5848</v>
      </c>
      <c r="G244">
        <v>7464</v>
      </c>
      <c r="H244">
        <v>2681</v>
      </c>
      <c r="I244" t="s">
        <v>28</v>
      </c>
      <c r="J244" s="21">
        <f ca="1">DATE(Table2[[#This Row],[Year]],MONTH(1 &amp; Table2[[#This Row],[Month]]),RANDBETWEEN(1,30))</f>
        <v>44424</v>
      </c>
      <c r="L244" s="2">
        <v>2020</v>
      </c>
      <c r="M244" s="2" t="s">
        <v>57</v>
      </c>
      <c r="N244" s="2">
        <v>185598</v>
      </c>
      <c r="O244" s="2">
        <v>266889</v>
      </c>
      <c r="P244" s="2" t="s">
        <v>50</v>
      </c>
    </row>
    <row r="245" spans="1:16">
      <c r="A245">
        <v>2021</v>
      </c>
      <c r="B245" t="s">
        <v>31</v>
      </c>
      <c r="C245" t="s">
        <v>21</v>
      </c>
      <c r="D245" t="s">
        <v>30</v>
      </c>
      <c r="E245">
        <v>1584</v>
      </c>
      <c r="F245">
        <v>5351</v>
      </c>
      <c r="G245">
        <v>4434</v>
      </c>
      <c r="H245">
        <v>2641</v>
      </c>
      <c r="I245" t="s">
        <v>28</v>
      </c>
      <c r="J245" s="21">
        <f ca="1">DATE(Table2[[#This Row],[Year]],MONTH(1 &amp; Table2[[#This Row],[Month]]),RANDBETWEEN(1,30))</f>
        <v>44411</v>
      </c>
      <c r="L245" s="2">
        <v>2021</v>
      </c>
      <c r="M245" s="2" t="s">
        <v>60</v>
      </c>
      <c r="N245" s="2">
        <v>213314</v>
      </c>
      <c r="O245" s="2">
        <v>676654</v>
      </c>
      <c r="P245" s="2" t="s">
        <v>59</v>
      </c>
    </row>
    <row r="246" spans="1:16">
      <c r="A246">
        <v>2021</v>
      </c>
      <c r="B246" t="s">
        <v>31</v>
      </c>
      <c r="C246" t="s">
        <v>15</v>
      </c>
      <c r="D246" t="s">
        <v>11</v>
      </c>
      <c r="E246">
        <v>2814</v>
      </c>
      <c r="F246">
        <v>4996</v>
      </c>
      <c r="G246">
        <v>8962</v>
      </c>
      <c r="H246">
        <v>2994</v>
      </c>
      <c r="I246" t="s">
        <v>18</v>
      </c>
      <c r="J246" s="21">
        <f ca="1">DATE(Table2[[#This Row],[Year]],MONTH(1 &amp; Table2[[#This Row],[Month]]),RANDBETWEEN(1,30))</f>
        <v>44438</v>
      </c>
      <c r="L246" s="2">
        <v>2025</v>
      </c>
      <c r="M246" s="2" t="s">
        <v>57</v>
      </c>
      <c r="N246" s="2">
        <v>260125</v>
      </c>
      <c r="O246" s="2">
        <v>236333</v>
      </c>
      <c r="P246" s="2" t="s">
        <v>59</v>
      </c>
    </row>
    <row r="247" spans="1:16">
      <c r="A247">
        <v>2021</v>
      </c>
      <c r="B247" t="s">
        <v>31</v>
      </c>
      <c r="C247" t="s">
        <v>10</v>
      </c>
      <c r="D247" t="s">
        <v>43</v>
      </c>
      <c r="E247">
        <v>2983</v>
      </c>
      <c r="F247">
        <v>8181</v>
      </c>
      <c r="G247">
        <v>4900</v>
      </c>
      <c r="H247">
        <v>1713</v>
      </c>
      <c r="I247" t="s">
        <v>12</v>
      </c>
      <c r="J247" s="21">
        <f ca="1">DATE(Table2[[#This Row],[Year]],MONTH(1 &amp; Table2[[#This Row],[Month]]),RANDBETWEEN(1,30))</f>
        <v>44429</v>
      </c>
      <c r="L247" s="2">
        <v>2021</v>
      </c>
      <c r="M247" s="2" t="s">
        <v>60</v>
      </c>
      <c r="N247" s="2">
        <v>424746</v>
      </c>
      <c r="O247" s="2">
        <v>299547</v>
      </c>
      <c r="P247" s="2" t="s">
        <v>59</v>
      </c>
    </row>
    <row r="248" spans="1:16">
      <c r="A248">
        <v>2021</v>
      </c>
      <c r="B248" t="s">
        <v>31</v>
      </c>
      <c r="C248" t="s">
        <v>21</v>
      </c>
      <c r="D248" t="s">
        <v>23</v>
      </c>
      <c r="E248">
        <v>2442</v>
      </c>
      <c r="F248">
        <v>8558</v>
      </c>
      <c r="G248">
        <v>11505</v>
      </c>
      <c r="H248">
        <v>1688</v>
      </c>
      <c r="I248" t="s">
        <v>12</v>
      </c>
      <c r="J248" s="21">
        <f ca="1">DATE(Table2[[#This Row],[Year]],MONTH(1 &amp; Table2[[#This Row],[Month]]),RANDBETWEEN(1,30))</f>
        <v>44409</v>
      </c>
      <c r="L248" s="2">
        <v>2023</v>
      </c>
      <c r="M248" s="2" t="s">
        <v>51</v>
      </c>
      <c r="N248" s="2">
        <v>105545</v>
      </c>
      <c r="O248" s="2">
        <v>373911</v>
      </c>
      <c r="P248" s="2" t="s">
        <v>53</v>
      </c>
    </row>
    <row r="249" spans="1:16">
      <c r="A249">
        <v>2021</v>
      </c>
      <c r="B249" t="s">
        <v>13</v>
      </c>
      <c r="C249" t="s">
        <v>25</v>
      </c>
      <c r="D249" t="s">
        <v>23</v>
      </c>
      <c r="E249">
        <v>1026</v>
      </c>
      <c r="F249">
        <v>8435</v>
      </c>
      <c r="G249">
        <v>6075</v>
      </c>
      <c r="H249">
        <v>2202</v>
      </c>
      <c r="I249" t="s">
        <v>28</v>
      </c>
      <c r="J249" s="21">
        <f ca="1">DATE(Table2[[#This Row],[Year]],MONTH(1 &amp; Table2[[#This Row],[Month]]),RANDBETWEEN(1,30))</f>
        <v>44467</v>
      </c>
      <c r="L249" s="2">
        <v>2025</v>
      </c>
      <c r="M249" s="2" t="s">
        <v>48</v>
      </c>
      <c r="N249" s="2">
        <v>359752</v>
      </c>
      <c r="O249" s="2">
        <v>510117</v>
      </c>
      <c r="P249" s="2" t="s">
        <v>50</v>
      </c>
    </row>
    <row r="250" spans="1:16">
      <c r="A250">
        <v>2021</v>
      </c>
      <c r="B250" t="s">
        <v>13</v>
      </c>
      <c r="C250" t="s">
        <v>21</v>
      </c>
      <c r="D250" t="s">
        <v>30</v>
      </c>
      <c r="E250">
        <v>1639</v>
      </c>
      <c r="F250">
        <v>3334</v>
      </c>
      <c r="G250">
        <v>6975</v>
      </c>
      <c r="H250">
        <v>2499</v>
      </c>
      <c r="I250" t="s">
        <v>12</v>
      </c>
      <c r="J250" s="21">
        <f ca="1">DATE(Table2[[#This Row],[Year]],MONTH(1 &amp; Table2[[#This Row],[Month]]),RANDBETWEEN(1,30))</f>
        <v>44453</v>
      </c>
      <c r="L250" s="2">
        <v>2022</v>
      </c>
      <c r="M250" s="2" t="s">
        <v>61</v>
      </c>
      <c r="N250" s="2">
        <v>367551</v>
      </c>
      <c r="O250" s="2">
        <v>472401</v>
      </c>
      <c r="P250" s="2" t="s">
        <v>59</v>
      </c>
    </row>
    <row r="251" spans="1:16">
      <c r="A251">
        <v>2021</v>
      </c>
      <c r="B251" t="s">
        <v>13</v>
      </c>
      <c r="C251" t="s">
        <v>29</v>
      </c>
      <c r="D251" t="s">
        <v>11</v>
      </c>
      <c r="E251">
        <v>3615</v>
      </c>
      <c r="F251">
        <v>5389</v>
      </c>
      <c r="G251">
        <v>3595</v>
      </c>
      <c r="H251">
        <v>1864</v>
      </c>
      <c r="I251" t="s">
        <v>12</v>
      </c>
      <c r="J251" s="21">
        <f ca="1">DATE(Table2[[#This Row],[Year]],MONTH(1 &amp; Table2[[#This Row],[Month]]),RANDBETWEEN(1,30))</f>
        <v>44468</v>
      </c>
      <c r="L251" s="2">
        <v>2020</v>
      </c>
      <c r="M251" s="2" t="s">
        <v>56</v>
      </c>
      <c r="N251" s="2">
        <v>419462</v>
      </c>
      <c r="O251" s="2">
        <v>262822</v>
      </c>
      <c r="P251" s="2" t="s">
        <v>49</v>
      </c>
    </row>
    <row r="252" spans="1:16">
      <c r="A252">
        <v>2021</v>
      </c>
      <c r="B252" t="s">
        <v>13</v>
      </c>
      <c r="C252" t="s">
        <v>29</v>
      </c>
      <c r="D252" t="s">
        <v>37</v>
      </c>
      <c r="E252">
        <v>1448</v>
      </c>
      <c r="F252">
        <v>4147</v>
      </c>
      <c r="G252">
        <v>9702</v>
      </c>
      <c r="H252">
        <v>812</v>
      </c>
      <c r="I252" t="s">
        <v>18</v>
      </c>
      <c r="J252" s="21">
        <f ca="1">DATE(Table2[[#This Row],[Year]],MONTH(1 &amp; Table2[[#This Row],[Month]]),RANDBETWEEN(1,30))</f>
        <v>44462</v>
      </c>
      <c r="L252" s="2">
        <v>2023</v>
      </c>
      <c r="M252" s="2" t="s">
        <v>58</v>
      </c>
      <c r="N252" s="2">
        <v>473101</v>
      </c>
      <c r="O252" s="2">
        <v>344864</v>
      </c>
      <c r="P252" s="2" t="s">
        <v>50</v>
      </c>
    </row>
    <row r="253" spans="1:16">
      <c r="A253">
        <v>2021</v>
      </c>
      <c r="B253" t="s">
        <v>13</v>
      </c>
      <c r="C253" t="s">
        <v>10</v>
      </c>
      <c r="D253" t="s">
        <v>26</v>
      </c>
      <c r="E253">
        <v>3664</v>
      </c>
      <c r="F253">
        <v>8855</v>
      </c>
      <c r="G253">
        <v>7911</v>
      </c>
      <c r="H253">
        <v>2040</v>
      </c>
      <c r="I253" t="s">
        <v>12</v>
      </c>
      <c r="J253" s="21">
        <f ca="1">DATE(Table2[[#This Row],[Year]],MONTH(1 &amp; Table2[[#This Row],[Month]]),RANDBETWEEN(1,30))</f>
        <v>44444</v>
      </c>
      <c r="L253" s="2">
        <v>2023</v>
      </c>
      <c r="M253" s="2" t="s">
        <v>54</v>
      </c>
      <c r="N253" s="2">
        <v>108055</v>
      </c>
      <c r="O253" s="2">
        <v>319376</v>
      </c>
      <c r="P253" s="2" t="s">
        <v>59</v>
      </c>
    </row>
    <row r="254" spans="1:16">
      <c r="A254">
        <v>2021</v>
      </c>
      <c r="B254" t="s">
        <v>13</v>
      </c>
      <c r="C254" t="s">
        <v>23</v>
      </c>
      <c r="D254" t="s">
        <v>42</v>
      </c>
      <c r="E254">
        <v>1899</v>
      </c>
      <c r="F254">
        <v>8855</v>
      </c>
      <c r="G254">
        <v>4484</v>
      </c>
      <c r="H254">
        <v>1032</v>
      </c>
      <c r="I254" t="s">
        <v>28</v>
      </c>
      <c r="J254" s="21">
        <f ca="1">DATE(Table2[[#This Row],[Year]],MONTH(1 &amp; Table2[[#This Row],[Month]]),RANDBETWEEN(1,30))</f>
        <v>44466</v>
      </c>
      <c r="L254" s="2">
        <v>2024</v>
      </c>
      <c r="M254" s="2" t="s">
        <v>60</v>
      </c>
      <c r="N254" s="2">
        <v>161513</v>
      </c>
      <c r="O254" s="2">
        <v>306771</v>
      </c>
      <c r="P254" s="2" t="s">
        <v>53</v>
      </c>
    </row>
    <row r="255" spans="1:16">
      <c r="A255">
        <v>2021</v>
      </c>
      <c r="B255" t="s">
        <v>13</v>
      </c>
      <c r="C255" t="s">
        <v>25</v>
      </c>
      <c r="D255" t="s">
        <v>34</v>
      </c>
      <c r="E255">
        <v>1819</v>
      </c>
      <c r="F255">
        <v>4321</v>
      </c>
      <c r="G255">
        <v>11599</v>
      </c>
      <c r="H255">
        <v>1106</v>
      </c>
      <c r="I255" t="s">
        <v>18</v>
      </c>
      <c r="J255" s="21">
        <f ca="1">DATE(Table2[[#This Row],[Year]],MONTH(1 &amp; Table2[[#This Row],[Month]]),RANDBETWEEN(1,30))</f>
        <v>44445</v>
      </c>
      <c r="L255" s="2">
        <v>2023</v>
      </c>
      <c r="M255" s="2" t="s">
        <v>57</v>
      </c>
      <c r="N255" s="2">
        <v>454469</v>
      </c>
      <c r="O255" s="2">
        <v>405572</v>
      </c>
      <c r="P255" s="2" t="s">
        <v>53</v>
      </c>
    </row>
    <row r="256" spans="1:16">
      <c r="A256">
        <v>2021</v>
      </c>
      <c r="B256" t="s">
        <v>13</v>
      </c>
      <c r="C256" t="s">
        <v>25</v>
      </c>
      <c r="D256" t="s">
        <v>16</v>
      </c>
      <c r="E256">
        <v>3941</v>
      </c>
      <c r="F256">
        <v>7806</v>
      </c>
      <c r="G256">
        <v>9665</v>
      </c>
      <c r="H256">
        <v>2714</v>
      </c>
      <c r="I256" t="s">
        <v>18</v>
      </c>
      <c r="J256" s="21">
        <f ca="1">DATE(Table2[[#This Row],[Year]],MONTH(1 &amp; Table2[[#This Row],[Month]]),RANDBETWEEN(1,30))</f>
        <v>44465</v>
      </c>
      <c r="L256" s="2">
        <v>2025</v>
      </c>
      <c r="M256" s="2" t="s">
        <v>60</v>
      </c>
      <c r="N256" s="2">
        <v>283407</v>
      </c>
      <c r="O256" s="2">
        <v>552016</v>
      </c>
      <c r="P256" s="2" t="s">
        <v>49</v>
      </c>
    </row>
    <row r="257" spans="1:16">
      <c r="A257">
        <v>2021</v>
      </c>
      <c r="B257" t="s">
        <v>13</v>
      </c>
      <c r="C257" t="s">
        <v>21</v>
      </c>
      <c r="D257" t="s">
        <v>22</v>
      </c>
      <c r="E257">
        <v>1888</v>
      </c>
      <c r="F257">
        <v>5672</v>
      </c>
      <c r="G257">
        <v>3093</v>
      </c>
      <c r="H257">
        <v>2459</v>
      </c>
      <c r="I257" t="s">
        <v>18</v>
      </c>
      <c r="J257" s="21">
        <f ca="1">DATE(Table2[[#This Row],[Year]],MONTH(1 &amp; Table2[[#This Row],[Month]]),RANDBETWEEN(1,30))</f>
        <v>44469</v>
      </c>
      <c r="L257" s="2">
        <v>2025</v>
      </c>
      <c r="M257" s="2" t="s">
        <v>52</v>
      </c>
      <c r="N257" s="2">
        <v>325836</v>
      </c>
      <c r="O257" s="2">
        <v>308726</v>
      </c>
      <c r="P257" s="2" t="s">
        <v>49</v>
      </c>
    </row>
    <row r="258" spans="1:16">
      <c r="A258">
        <v>2021</v>
      </c>
      <c r="B258" t="s">
        <v>13</v>
      </c>
      <c r="C258" t="s">
        <v>25</v>
      </c>
      <c r="D258" t="s">
        <v>16</v>
      </c>
      <c r="E258">
        <v>2763</v>
      </c>
      <c r="F258">
        <v>1355</v>
      </c>
      <c r="G258">
        <v>4695</v>
      </c>
      <c r="H258">
        <v>372</v>
      </c>
      <c r="I258" t="s">
        <v>12</v>
      </c>
      <c r="J258" s="21">
        <f ca="1">DATE(Table2[[#This Row],[Year]],MONTH(1 &amp; Table2[[#This Row],[Month]]),RANDBETWEEN(1,30))</f>
        <v>44461</v>
      </c>
      <c r="L258" s="2">
        <v>2021</v>
      </c>
      <c r="M258" s="2" t="s">
        <v>48</v>
      </c>
      <c r="N258" s="2">
        <v>365211</v>
      </c>
      <c r="O258" s="2">
        <v>383339</v>
      </c>
      <c r="P258" s="2" t="s">
        <v>49</v>
      </c>
    </row>
    <row r="259" spans="1:16">
      <c r="A259">
        <v>2021</v>
      </c>
      <c r="B259" t="s">
        <v>24</v>
      </c>
      <c r="C259" t="s">
        <v>23</v>
      </c>
      <c r="D259" t="s">
        <v>23</v>
      </c>
      <c r="E259">
        <v>1674</v>
      </c>
      <c r="F259">
        <v>4687</v>
      </c>
      <c r="G259">
        <v>7591</v>
      </c>
      <c r="H259">
        <v>552</v>
      </c>
      <c r="I259" t="s">
        <v>12</v>
      </c>
      <c r="J259" s="21">
        <f ca="1">DATE(Table2[[#This Row],[Year]],MONTH(1 &amp; Table2[[#This Row],[Month]]),RANDBETWEEN(1,30))</f>
        <v>44484</v>
      </c>
      <c r="L259" s="2">
        <v>2022</v>
      </c>
      <c r="M259" s="2" t="s">
        <v>54</v>
      </c>
      <c r="N259" s="2">
        <v>371627</v>
      </c>
      <c r="O259" s="2">
        <v>395459</v>
      </c>
      <c r="P259" s="2" t="s">
        <v>50</v>
      </c>
    </row>
    <row r="260" spans="1:16">
      <c r="A260">
        <v>2021</v>
      </c>
      <c r="B260" t="s">
        <v>24</v>
      </c>
      <c r="C260" t="s">
        <v>10</v>
      </c>
      <c r="D260" t="s">
        <v>42</v>
      </c>
      <c r="E260">
        <v>3890</v>
      </c>
      <c r="F260">
        <v>3729</v>
      </c>
      <c r="G260">
        <v>6338</v>
      </c>
      <c r="H260">
        <v>952</v>
      </c>
      <c r="I260" t="s">
        <v>18</v>
      </c>
      <c r="J260" s="21">
        <f ca="1">DATE(Table2[[#This Row],[Year]],MONTH(1 &amp; Table2[[#This Row],[Month]]),RANDBETWEEN(1,30))</f>
        <v>44471</v>
      </c>
      <c r="L260" s="2">
        <v>2023</v>
      </c>
      <c r="M260" s="2" t="s">
        <v>55</v>
      </c>
      <c r="N260" s="2">
        <v>472696</v>
      </c>
      <c r="O260" s="2">
        <v>688228</v>
      </c>
      <c r="P260" s="2" t="s">
        <v>53</v>
      </c>
    </row>
    <row r="261" spans="1:16">
      <c r="A261">
        <v>2021</v>
      </c>
      <c r="B261" t="s">
        <v>24</v>
      </c>
      <c r="C261" t="s">
        <v>23</v>
      </c>
      <c r="D261" t="s">
        <v>26</v>
      </c>
      <c r="E261">
        <v>3427</v>
      </c>
      <c r="F261">
        <v>1330</v>
      </c>
      <c r="G261">
        <v>10763</v>
      </c>
      <c r="H261">
        <v>428</v>
      </c>
      <c r="I261" t="s">
        <v>28</v>
      </c>
      <c r="J261" s="21">
        <f ca="1">DATE(Table2[[#This Row],[Year]],MONTH(1 &amp; Table2[[#This Row],[Month]]),RANDBETWEEN(1,30))</f>
        <v>44479</v>
      </c>
      <c r="L261" s="2">
        <v>2024</v>
      </c>
      <c r="M261" s="2" t="s">
        <v>55</v>
      </c>
      <c r="N261" s="2">
        <v>498780</v>
      </c>
      <c r="O261" s="2">
        <v>677333</v>
      </c>
      <c r="P261" s="2" t="s">
        <v>53</v>
      </c>
    </row>
    <row r="262" spans="1:16">
      <c r="A262">
        <v>2021</v>
      </c>
      <c r="B262" t="s">
        <v>24</v>
      </c>
      <c r="C262" t="s">
        <v>29</v>
      </c>
      <c r="D262" t="s">
        <v>23</v>
      </c>
      <c r="E262">
        <v>330</v>
      </c>
      <c r="F262">
        <v>3669</v>
      </c>
      <c r="G262">
        <v>2169</v>
      </c>
      <c r="H262">
        <v>980</v>
      </c>
      <c r="I262" t="s">
        <v>18</v>
      </c>
      <c r="J262" s="21">
        <f ca="1">DATE(Table2[[#This Row],[Year]],MONTH(1 &amp; Table2[[#This Row],[Month]]),RANDBETWEEN(1,30))</f>
        <v>44476</v>
      </c>
      <c r="L262" s="2">
        <v>2025</v>
      </c>
      <c r="M262" s="2" t="s">
        <v>61</v>
      </c>
      <c r="N262" s="2">
        <v>388063</v>
      </c>
      <c r="O262" s="2">
        <v>600069</v>
      </c>
      <c r="P262" s="2" t="s">
        <v>50</v>
      </c>
    </row>
    <row r="263" spans="1:16">
      <c r="A263">
        <v>2021</v>
      </c>
      <c r="B263" t="s">
        <v>24</v>
      </c>
      <c r="C263" t="s">
        <v>15</v>
      </c>
      <c r="D263" t="s">
        <v>26</v>
      </c>
      <c r="E263">
        <v>2454</v>
      </c>
      <c r="F263">
        <v>8841</v>
      </c>
      <c r="G263">
        <v>6082</v>
      </c>
      <c r="H263">
        <v>467</v>
      </c>
      <c r="I263" t="s">
        <v>28</v>
      </c>
      <c r="J263" s="21">
        <f ca="1">DATE(Table2[[#This Row],[Year]],MONTH(1 &amp; Table2[[#This Row],[Month]]),RANDBETWEEN(1,30))</f>
        <v>44485</v>
      </c>
      <c r="L263" s="2">
        <v>2025</v>
      </c>
      <c r="M263" s="2" t="s">
        <v>58</v>
      </c>
      <c r="N263" s="2">
        <v>214888</v>
      </c>
      <c r="O263" s="2">
        <v>320829</v>
      </c>
      <c r="P263" s="2" t="s">
        <v>49</v>
      </c>
    </row>
    <row r="264" spans="1:16">
      <c r="A264">
        <v>2021</v>
      </c>
      <c r="B264" t="s">
        <v>24</v>
      </c>
      <c r="C264" t="s">
        <v>25</v>
      </c>
      <c r="D264" t="s">
        <v>17</v>
      </c>
      <c r="E264">
        <v>2883</v>
      </c>
      <c r="F264">
        <v>1886</v>
      </c>
      <c r="G264">
        <v>4933</v>
      </c>
      <c r="H264">
        <v>2916</v>
      </c>
      <c r="I264" t="s">
        <v>28</v>
      </c>
      <c r="J264" s="21">
        <f ca="1">DATE(Table2[[#This Row],[Year]],MONTH(1 &amp; Table2[[#This Row],[Month]]),RANDBETWEEN(1,30))</f>
        <v>44496</v>
      </c>
      <c r="L264" s="2">
        <v>2023</v>
      </c>
      <c r="M264" s="2" t="s">
        <v>57</v>
      </c>
      <c r="N264" s="2">
        <v>451901</v>
      </c>
      <c r="O264" s="2">
        <v>234019</v>
      </c>
      <c r="P264" s="2" t="s">
        <v>49</v>
      </c>
    </row>
    <row r="265" spans="1:16">
      <c r="A265">
        <v>2021</v>
      </c>
      <c r="B265" t="s">
        <v>24</v>
      </c>
      <c r="C265" t="s">
        <v>25</v>
      </c>
      <c r="D265" t="s">
        <v>43</v>
      </c>
      <c r="E265">
        <v>1333</v>
      </c>
      <c r="F265">
        <v>8110</v>
      </c>
      <c r="G265">
        <v>4260</v>
      </c>
      <c r="H265">
        <v>2547</v>
      </c>
      <c r="I265" t="s">
        <v>12</v>
      </c>
      <c r="J265" s="21">
        <f ca="1">DATE(Table2[[#This Row],[Year]],MONTH(1 &amp; Table2[[#This Row],[Month]]),RANDBETWEEN(1,30))</f>
        <v>44478</v>
      </c>
      <c r="L265" s="2">
        <v>2021</v>
      </c>
      <c r="M265" s="2" t="s">
        <v>52</v>
      </c>
      <c r="N265" s="2">
        <v>119688</v>
      </c>
      <c r="O265" s="2">
        <v>358452</v>
      </c>
      <c r="P265" s="2" t="s">
        <v>49</v>
      </c>
    </row>
    <row r="266" spans="1:16">
      <c r="A266">
        <v>2021</v>
      </c>
      <c r="B266" t="s">
        <v>24</v>
      </c>
      <c r="C266" t="s">
        <v>29</v>
      </c>
      <c r="D266" t="s">
        <v>37</v>
      </c>
      <c r="E266">
        <v>1704</v>
      </c>
      <c r="F266">
        <v>2266</v>
      </c>
      <c r="G266">
        <v>7489</v>
      </c>
      <c r="H266">
        <v>310</v>
      </c>
      <c r="I266" t="s">
        <v>28</v>
      </c>
      <c r="J266" s="21">
        <f ca="1">DATE(Table2[[#This Row],[Year]],MONTH(1 &amp; Table2[[#This Row],[Month]]),RANDBETWEEN(1,30))</f>
        <v>44482</v>
      </c>
      <c r="L266" s="2">
        <v>2020</v>
      </c>
      <c r="M266" s="2" t="s">
        <v>61</v>
      </c>
      <c r="N266" s="2">
        <v>192432</v>
      </c>
      <c r="O266" s="2">
        <v>333397</v>
      </c>
      <c r="P266" s="2" t="s">
        <v>53</v>
      </c>
    </row>
    <row r="267" spans="1:16">
      <c r="A267">
        <v>2021</v>
      </c>
      <c r="B267" t="s">
        <v>32</v>
      </c>
      <c r="C267" t="s">
        <v>15</v>
      </c>
      <c r="D267" t="s">
        <v>37</v>
      </c>
      <c r="E267">
        <v>95</v>
      </c>
      <c r="F267">
        <v>3721</v>
      </c>
      <c r="G267">
        <v>9164</v>
      </c>
      <c r="H267">
        <v>2817</v>
      </c>
      <c r="I267" t="s">
        <v>28</v>
      </c>
      <c r="J267" s="21">
        <f ca="1">DATE(Table2[[#This Row],[Year]],MONTH(1 &amp; Table2[[#This Row],[Month]]),RANDBETWEEN(1,30))</f>
        <v>44508</v>
      </c>
      <c r="L267" s="2">
        <v>2020</v>
      </c>
      <c r="M267" s="2" t="s">
        <v>55</v>
      </c>
      <c r="N267" s="2">
        <v>458954</v>
      </c>
      <c r="O267" s="2">
        <v>452963</v>
      </c>
      <c r="P267" s="2" t="s">
        <v>49</v>
      </c>
    </row>
    <row r="268" spans="1:16">
      <c r="A268">
        <v>2021</v>
      </c>
      <c r="B268" t="s">
        <v>32</v>
      </c>
      <c r="C268" t="s">
        <v>25</v>
      </c>
      <c r="D268" t="s">
        <v>26</v>
      </c>
      <c r="E268">
        <v>2976</v>
      </c>
      <c r="F268">
        <v>4125</v>
      </c>
      <c r="G268">
        <v>7071</v>
      </c>
      <c r="H268">
        <v>1617</v>
      </c>
      <c r="I268" t="s">
        <v>28</v>
      </c>
      <c r="J268" s="21">
        <f ca="1">DATE(Table2[[#This Row],[Year]],MONTH(1 &amp; Table2[[#This Row],[Month]]),RANDBETWEEN(1,30))</f>
        <v>44528</v>
      </c>
      <c r="L268" s="2">
        <v>2020</v>
      </c>
      <c r="M268" s="2" t="s">
        <v>51</v>
      </c>
      <c r="N268" s="2">
        <v>202477</v>
      </c>
      <c r="O268" s="2">
        <v>588864</v>
      </c>
      <c r="P268" s="2" t="s">
        <v>59</v>
      </c>
    </row>
    <row r="269" spans="1:16">
      <c r="A269">
        <v>2021</v>
      </c>
      <c r="B269" t="s">
        <v>32</v>
      </c>
      <c r="C269" t="s">
        <v>29</v>
      </c>
      <c r="D269" t="s">
        <v>35</v>
      </c>
      <c r="E269">
        <v>982</v>
      </c>
      <c r="F269">
        <v>6712</v>
      </c>
      <c r="G269">
        <v>11444</v>
      </c>
      <c r="H269">
        <v>1890</v>
      </c>
      <c r="I269" t="s">
        <v>28</v>
      </c>
      <c r="J269" s="21">
        <f ca="1">DATE(Table2[[#This Row],[Year]],MONTH(1 &amp; Table2[[#This Row],[Month]]),RANDBETWEEN(1,30))</f>
        <v>44513</v>
      </c>
      <c r="L269" s="2">
        <v>2021</v>
      </c>
      <c r="M269" s="2" t="s">
        <v>55</v>
      </c>
      <c r="N269" s="2">
        <v>188260</v>
      </c>
      <c r="O269" s="2">
        <v>629161</v>
      </c>
      <c r="P269" s="2" t="s">
        <v>59</v>
      </c>
    </row>
    <row r="270" spans="1:16">
      <c r="A270">
        <v>2021</v>
      </c>
      <c r="B270" t="s">
        <v>32</v>
      </c>
      <c r="C270" t="s">
        <v>23</v>
      </c>
      <c r="D270" t="s">
        <v>17</v>
      </c>
      <c r="E270">
        <v>3358</v>
      </c>
      <c r="F270">
        <v>3997</v>
      </c>
      <c r="G270">
        <v>8266</v>
      </c>
      <c r="H270">
        <v>2394</v>
      </c>
      <c r="I270" t="s">
        <v>18</v>
      </c>
      <c r="J270" s="21">
        <f ca="1">DATE(Table2[[#This Row],[Year]],MONTH(1 &amp; Table2[[#This Row],[Month]]),RANDBETWEEN(1,30))</f>
        <v>44523</v>
      </c>
      <c r="L270" s="2">
        <v>2021</v>
      </c>
      <c r="M270" s="2" t="s">
        <v>55</v>
      </c>
      <c r="N270" s="2">
        <v>155250</v>
      </c>
      <c r="O270" s="2">
        <v>622432</v>
      </c>
      <c r="P270" s="2" t="s">
        <v>59</v>
      </c>
    </row>
    <row r="271" spans="1:16">
      <c r="A271">
        <v>2021</v>
      </c>
      <c r="B271" t="s">
        <v>32</v>
      </c>
      <c r="C271" t="s">
        <v>25</v>
      </c>
      <c r="D271" t="s">
        <v>37</v>
      </c>
      <c r="E271">
        <v>3827</v>
      </c>
      <c r="F271">
        <v>9165</v>
      </c>
      <c r="G271">
        <v>11576</v>
      </c>
      <c r="H271">
        <v>791</v>
      </c>
      <c r="I271" t="s">
        <v>18</v>
      </c>
      <c r="J271" s="21">
        <f ca="1">DATE(Table2[[#This Row],[Year]],MONTH(1 &amp; Table2[[#This Row],[Month]]),RANDBETWEEN(1,30))</f>
        <v>44516</v>
      </c>
      <c r="L271" s="2">
        <v>2022</v>
      </c>
      <c r="M271" s="2" t="s">
        <v>52</v>
      </c>
      <c r="N271" s="2">
        <v>443645</v>
      </c>
      <c r="O271" s="2">
        <v>379838</v>
      </c>
      <c r="P271" s="2" t="s">
        <v>49</v>
      </c>
    </row>
    <row r="272" spans="1:16">
      <c r="A272">
        <v>2021</v>
      </c>
      <c r="B272" t="s">
        <v>32</v>
      </c>
      <c r="C272" t="s">
        <v>29</v>
      </c>
      <c r="D272" t="s">
        <v>34</v>
      </c>
      <c r="E272">
        <v>3405</v>
      </c>
      <c r="F272">
        <v>2352</v>
      </c>
      <c r="G272">
        <v>7309</v>
      </c>
      <c r="H272">
        <v>2864</v>
      </c>
      <c r="I272" t="s">
        <v>28</v>
      </c>
      <c r="J272" s="21">
        <f ca="1">DATE(Table2[[#This Row],[Year]],MONTH(1 &amp; Table2[[#This Row],[Month]]),RANDBETWEEN(1,30))</f>
        <v>44521</v>
      </c>
      <c r="L272" s="2">
        <v>2024</v>
      </c>
      <c r="M272" s="2" t="s">
        <v>54</v>
      </c>
      <c r="N272" s="2">
        <v>300023</v>
      </c>
      <c r="O272" s="2">
        <v>543617</v>
      </c>
      <c r="P272" s="2" t="s">
        <v>59</v>
      </c>
    </row>
    <row r="273" spans="1:16">
      <c r="A273">
        <v>2021</v>
      </c>
      <c r="B273" t="s">
        <v>32</v>
      </c>
      <c r="C273" t="s">
        <v>10</v>
      </c>
      <c r="D273" t="s">
        <v>43</v>
      </c>
      <c r="E273">
        <v>979</v>
      </c>
      <c r="F273">
        <v>2494</v>
      </c>
      <c r="G273">
        <v>8417</v>
      </c>
      <c r="H273">
        <v>2047</v>
      </c>
      <c r="I273" t="s">
        <v>12</v>
      </c>
      <c r="J273" s="21">
        <f ca="1">DATE(Table2[[#This Row],[Year]],MONTH(1 &amp; Table2[[#This Row],[Month]]),RANDBETWEEN(1,30))</f>
        <v>44505</v>
      </c>
      <c r="L273" s="2">
        <v>2020</v>
      </c>
      <c r="M273" s="2" t="s">
        <v>51</v>
      </c>
      <c r="N273" s="2">
        <v>369957</v>
      </c>
      <c r="O273" s="2">
        <v>356417</v>
      </c>
      <c r="P273" s="2" t="s">
        <v>49</v>
      </c>
    </row>
    <row r="274" spans="1:16">
      <c r="A274">
        <v>2021</v>
      </c>
      <c r="B274" t="s">
        <v>32</v>
      </c>
      <c r="C274" t="s">
        <v>25</v>
      </c>
      <c r="D274" t="s">
        <v>30</v>
      </c>
      <c r="E274">
        <v>2266</v>
      </c>
      <c r="F274">
        <v>8065</v>
      </c>
      <c r="G274">
        <v>5951</v>
      </c>
      <c r="H274">
        <v>1706</v>
      </c>
      <c r="I274" t="s">
        <v>12</v>
      </c>
      <c r="J274" s="21">
        <f ca="1">DATE(Table2[[#This Row],[Year]],MONTH(1 &amp; Table2[[#This Row],[Month]]),RANDBETWEEN(1,30))</f>
        <v>44504</v>
      </c>
      <c r="L274" s="2">
        <v>2025</v>
      </c>
      <c r="M274" s="2" t="s">
        <v>51</v>
      </c>
      <c r="N274" s="2">
        <v>195627</v>
      </c>
      <c r="O274" s="2">
        <v>230453</v>
      </c>
      <c r="P274" s="2" t="s">
        <v>59</v>
      </c>
    </row>
    <row r="275" spans="1:16">
      <c r="A275">
        <v>2021</v>
      </c>
      <c r="B275" t="s">
        <v>32</v>
      </c>
      <c r="C275" t="s">
        <v>15</v>
      </c>
      <c r="D275" t="s">
        <v>43</v>
      </c>
      <c r="E275">
        <v>1818</v>
      </c>
      <c r="F275">
        <v>7883</v>
      </c>
      <c r="G275">
        <v>9140</v>
      </c>
      <c r="H275">
        <v>1385</v>
      </c>
      <c r="I275" t="s">
        <v>18</v>
      </c>
      <c r="J275" s="21">
        <f ca="1">DATE(Table2[[#This Row],[Year]],MONTH(1 &amp; Table2[[#This Row],[Month]]),RANDBETWEEN(1,30))</f>
        <v>44518</v>
      </c>
      <c r="L275" s="2">
        <v>2021</v>
      </c>
      <c r="M275" s="2" t="s">
        <v>54</v>
      </c>
      <c r="N275" s="2">
        <v>403216</v>
      </c>
      <c r="O275" s="2">
        <v>550783</v>
      </c>
      <c r="P275" s="2" t="s">
        <v>50</v>
      </c>
    </row>
    <row r="276" spans="1:16">
      <c r="A276">
        <v>2021</v>
      </c>
      <c r="B276" t="s">
        <v>32</v>
      </c>
      <c r="C276" t="s">
        <v>21</v>
      </c>
      <c r="D276" t="s">
        <v>38</v>
      </c>
      <c r="E276">
        <v>2035</v>
      </c>
      <c r="F276">
        <v>5549</v>
      </c>
      <c r="G276">
        <v>4177</v>
      </c>
      <c r="H276">
        <v>1986</v>
      </c>
      <c r="I276" t="s">
        <v>18</v>
      </c>
      <c r="J276" s="21">
        <f ca="1">DATE(Table2[[#This Row],[Year]],MONTH(1 &amp; Table2[[#This Row],[Month]]),RANDBETWEEN(1,30))</f>
        <v>44530</v>
      </c>
      <c r="L276" s="2">
        <v>2020</v>
      </c>
      <c r="M276" s="2" t="s">
        <v>56</v>
      </c>
      <c r="N276" s="2">
        <v>404002</v>
      </c>
      <c r="O276" s="2">
        <v>204914</v>
      </c>
      <c r="P276" s="2" t="s">
        <v>53</v>
      </c>
    </row>
    <row r="277" spans="1:16">
      <c r="A277">
        <v>2021</v>
      </c>
      <c r="B277" t="s">
        <v>32</v>
      </c>
      <c r="C277" t="s">
        <v>25</v>
      </c>
      <c r="D277" t="s">
        <v>16</v>
      </c>
      <c r="E277">
        <v>1650</v>
      </c>
      <c r="F277">
        <v>5983</v>
      </c>
      <c r="G277">
        <v>10891</v>
      </c>
      <c r="H277">
        <v>2092</v>
      </c>
      <c r="I277" t="s">
        <v>12</v>
      </c>
      <c r="J277" s="21">
        <f ca="1">DATE(Table2[[#This Row],[Year]],MONTH(1 &amp; Table2[[#This Row],[Month]]),RANDBETWEEN(1,30))</f>
        <v>44527</v>
      </c>
      <c r="L277" s="2">
        <v>2025</v>
      </c>
      <c r="M277" s="2" t="s">
        <v>56</v>
      </c>
      <c r="N277" s="2">
        <v>225039</v>
      </c>
      <c r="O277" s="2">
        <v>404591</v>
      </c>
      <c r="P277" s="2" t="s">
        <v>59</v>
      </c>
    </row>
    <row r="278" spans="1:16">
      <c r="A278">
        <v>2021</v>
      </c>
      <c r="B278" t="s">
        <v>41</v>
      </c>
      <c r="C278" t="s">
        <v>21</v>
      </c>
      <c r="D278" t="s">
        <v>22</v>
      </c>
      <c r="E278">
        <v>272</v>
      </c>
      <c r="F278">
        <v>3728</v>
      </c>
      <c r="G278">
        <v>3110</v>
      </c>
      <c r="H278">
        <v>2089</v>
      </c>
      <c r="I278" t="s">
        <v>18</v>
      </c>
      <c r="J278" s="21">
        <f ca="1">DATE(Table2[[#This Row],[Year]],MONTH(1 &amp; Table2[[#This Row],[Month]]),RANDBETWEEN(1,30))</f>
        <v>44545</v>
      </c>
      <c r="L278" s="2">
        <v>2022</v>
      </c>
      <c r="M278" s="2" t="s">
        <v>58</v>
      </c>
      <c r="N278" s="2">
        <v>264273</v>
      </c>
      <c r="O278" s="2">
        <v>364690</v>
      </c>
      <c r="P278" s="2" t="s">
        <v>50</v>
      </c>
    </row>
    <row r="279" spans="1:16">
      <c r="A279">
        <v>2021</v>
      </c>
      <c r="B279" t="s">
        <v>41</v>
      </c>
      <c r="C279" t="s">
        <v>25</v>
      </c>
      <c r="D279" t="s">
        <v>39</v>
      </c>
      <c r="E279">
        <v>1392</v>
      </c>
      <c r="F279">
        <v>6384</v>
      </c>
      <c r="G279">
        <v>3916</v>
      </c>
      <c r="H279">
        <v>1079</v>
      </c>
      <c r="I279" t="s">
        <v>12</v>
      </c>
      <c r="J279" s="21">
        <f ca="1">DATE(Table2[[#This Row],[Year]],MONTH(1 &amp; Table2[[#This Row],[Month]]),RANDBETWEEN(1,30))</f>
        <v>44538</v>
      </c>
      <c r="L279" s="2">
        <v>2023</v>
      </c>
      <c r="M279" s="2" t="s">
        <v>48</v>
      </c>
      <c r="N279" s="2">
        <v>183876</v>
      </c>
      <c r="O279" s="2">
        <v>546689</v>
      </c>
      <c r="P279" s="2" t="s">
        <v>49</v>
      </c>
    </row>
    <row r="280" spans="1:16">
      <c r="A280">
        <v>2021</v>
      </c>
      <c r="B280" t="s">
        <v>41</v>
      </c>
      <c r="C280" t="s">
        <v>23</v>
      </c>
      <c r="D280" t="s">
        <v>20</v>
      </c>
      <c r="E280">
        <v>2908</v>
      </c>
      <c r="F280">
        <v>2564</v>
      </c>
      <c r="G280">
        <v>6830</v>
      </c>
      <c r="H280">
        <v>2538</v>
      </c>
      <c r="I280" t="s">
        <v>28</v>
      </c>
      <c r="J280" s="21">
        <f ca="1">DATE(Table2[[#This Row],[Year]],MONTH(1 &amp; Table2[[#This Row],[Month]]),RANDBETWEEN(1,30))</f>
        <v>44538</v>
      </c>
      <c r="L280" s="2">
        <v>2024</v>
      </c>
      <c r="M280" s="2" t="s">
        <v>60</v>
      </c>
      <c r="N280" s="2">
        <v>490624</v>
      </c>
      <c r="O280" s="2">
        <v>583123</v>
      </c>
      <c r="P280" s="2" t="s">
        <v>53</v>
      </c>
    </row>
    <row r="281" spans="1:16">
      <c r="A281">
        <v>2021</v>
      </c>
      <c r="B281" t="s">
        <v>41</v>
      </c>
      <c r="C281" t="s">
        <v>25</v>
      </c>
      <c r="D281" t="s">
        <v>38</v>
      </c>
      <c r="E281">
        <v>2421</v>
      </c>
      <c r="F281">
        <v>9375</v>
      </c>
      <c r="G281">
        <v>4810</v>
      </c>
      <c r="H281">
        <v>2070</v>
      </c>
      <c r="I281" t="s">
        <v>18</v>
      </c>
      <c r="J281" s="21">
        <f ca="1">DATE(Table2[[#This Row],[Year]],MONTH(1 &amp; Table2[[#This Row],[Month]]),RANDBETWEEN(1,30))</f>
        <v>44531</v>
      </c>
      <c r="L281" s="2">
        <v>2025</v>
      </c>
      <c r="M281" s="2" t="s">
        <v>60</v>
      </c>
      <c r="N281" s="2">
        <v>358241</v>
      </c>
      <c r="O281" s="2">
        <v>352047</v>
      </c>
      <c r="P281" s="2" t="s">
        <v>49</v>
      </c>
    </row>
    <row r="282" spans="1:16">
      <c r="A282">
        <v>2021</v>
      </c>
      <c r="B282" t="s">
        <v>41</v>
      </c>
      <c r="C282" t="s">
        <v>10</v>
      </c>
      <c r="D282" t="s">
        <v>20</v>
      </c>
      <c r="E282">
        <v>3964</v>
      </c>
      <c r="F282">
        <v>7762</v>
      </c>
      <c r="G282">
        <v>3516</v>
      </c>
      <c r="H282">
        <v>291</v>
      </c>
      <c r="I282" t="s">
        <v>18</v>
      </c>
      <c r="J282" s="21">
        <f ca="1">DATE(Table2[[#This Row],[Year]],MONTH(1 &amp; Table2[[#This Row],[Month]]),RANDBETWEEN(1,30))</f>
        <v>44533</v>
      </c>
      <c r="L282" s="2">
        <v>2020</v>
      </c>
      <c r="M282" s="2" t="s">
        <v>61</v>
      </c>
      <c r="N282" s="2">
        <v>473818</v>
      </c>
      <c r="O282" s="2">
        <v>605814</v>
      </c>
      <c r="P282" s="2" t="s">
        <v>49</v>
      </c>
    </row>
    <row r="283" spans="1:16">
      <c r="A283">
        <v>2021</v>
      </c>
      <c r="B283" t="s">
        <v>41</v>
      </c>
      <c r="C283" t="s">
        <v>25</v>
      </c>
      <c r="D283" t="s">
        <v>35</v>
      </c>
      <c r="E283">
        <v>453</v>
      </c>
      <c r="F283">
        <v>8900</v>
      </c>
      <c r="G283">
        <v>9344</v>
      </c>
      <c r="H283">
        <v>2516</v>
      </c>
      <c r="I283" t="s">
        <v>28</v>
      </c>
      <c r="J283" s="21">
        <f ca="1">DATE(Table2[[#This Row],[Year]],MONTH(1 &amp; Table2[[#This Row],[Month]]),RANDBETWEEN(1,30))</f>
        <v>44554</v>
      </c>
      <c r="L283" s="2">
        <v>2023</v>
      </c>
      <c r="M283" s="2" t="s">
        <v>61</v>
      </c>
      <c r="N283" s="2">
        <v>221354</v>
      </c>
      <c r="O283" s="2">
        <v>346958</v>
      </c>
      <c r="P283" s="2" t="s">
        <v>53</v>
      </c>
    </row>
    <row r="284" spans="1:16">
      <c r="A284">
        <v>2021</v>
      </c>
      <c r="B284" t="s">
        <v>41</v>
      </c>
      <c r="C284" t="s">
        <v>29</v>
      </c>
      <c r="D284" t="s">
        <v>17</v>
      </c>
      <c r="E284">
        <v>3197</v>
      </c>
      <c r="F284">
        <v>9488</v>
      </c>
      <c r="G284">
        <v>8224</v>
      </c>
      <c r="H284">
        <v>2330</v>
      </c>
      <c r="I284" t="s">
        <v>12</v>
      </c>
      <c r="J284" s="21">
        <f ca="1">DATE(Table2[[#This Row],[Year]],MONTH(1 &amp; Table2[[#This Row],[Month]]),RANDBETWEEN(1,30))</f>
        <v>44537</v>
      </c>
      <c r="L284" s="2">
        <v>2023</v>
      </c>
      <c r="M284" s="2" t="s">
        <v>51</v>
      </c>
      <c r="N284" s="2">
        <v>412756</v>
      </c>
      <c r="O284" s="2">
        <v>423163</v>
      </c>
      <c r="P284" s="2" t="s">
        <v>50</v>
      </c>
    </row>
    <row r="285" spans="1:16">
      <c r="A285">
        <v>2021</v>
      </c>
      <c r="B285" t="s">
        <v>41</v>
      </c>
      <c r="C285" t="s">
        <v>10</v>
      </c>
      <c r="D285" t="s">
        <v>34</v>
      </c>
      <c r="E285">
        <v>2593</v>
      </c>
      <c r="F285">
        <v>2937</v>
      </c>
      <c r="G285">
        <v>5687</v>
      </c>
      <c r="H285">
        <v>584</v>
      </c>
      <c r="I285" t="s">
        <v>12</v>
      </c>
      <c r="J285" s="21">
        <f ca="1">DATE(Table2[[#This Row],[Year]],MONTH(1 &amp; Table2[[#This Row],[Month]]),RANDBETWEEN(1,30))</f>
        <v>44532</v>
      </c>
      <c r="L285" s="2">
        <v>2022</v>
      </c>
      <c r="M285" s="2" t="s">
        <v>51</v>
      </c>
      <c r="N285" s="2">
        <v>406343</v>
      </c>
      <c r="O285" s="2">
        <v>563509</v>
      </c>
      <c r="P285" s="2" t="s">
        <v>50</v>
      </c>
    </row>
    <row r="286" spans="1:16">
      <c r="A286">
        <v>2021</v>
      </c>
      <c r="B286" t="s">
        <v>41</v>
      </c>
      <c r="C286" t="s">
        <v>25</v>
      </c>
      <c r="D286" t="s">
        <v>22</v>
      </c>
      <c r="E286">
        <v>3266</v>
      </c>
      <c r="F286">
        <v>4179</v>
      </c>
      <c r="G286">
        <v>3256</v>
      </c>
      <c r="H286">
        <v>719</v>
      </c>
      <c r="I286" t="s">
        <v>28</v>
      </c>
      <c r="J286" s="21">
        <f ca="1">DATE(Table2[[#This Row],[Year]],MONTH(1 &amp; Table2[[#This Row],[Month]]),RANDBETWEEN(1,30))</f>
        <v>44533</v>
      </c>
      <c r="L286" s="2">
        <v>2022</v>
      </c>
      <c r="M286" s="2" t="s">
        <v>58</v>
      </c>
      <c r="N286" s="2">
        <v>376662</v>
      </c>
      <c r="O286" s="2">
        <v>546460</v>
      </c>
      <c r="P286" s="2" t="s">
        <v>49</v>
      </c>
    </row>
    <row r="287" spans="1:16">
      <c r="A287">
        <v>2021</v>
      </c>
      <c r="B287" t="s">
        <v>41</v>
      </c>
      <c r="C287" t="s">
        <v>23</v>
      </c>
      <c r="D287" t="s">
        <v>35</v>
      </c>
      <c r="E287">
        <v>2909</v>
      </c>
      <c r="F287">
        <v>3655</v>
      </c>
      <c r="G287">
        <v>6193</v>
      </c>
      <c r="H287">
        <v>1737</v>
      </c>
      <c r="I287" t="s">
        <v>18</v>
      </c>
      <c r="J287" s="21">
        <f ca="1">DATE(Table2[[#This Row],[Year]],MONTH(1 &amp; Table2[[#This Row],[Month]]),RANDBETWEEN(1,30))</f>
        <v>44543</v>
      </c>
      <c r="L287" s="2">
        <v>2023</v>
      </c>
      <c r="M287" s="2" t="s">
        <v>61</v>
      </c>
      <c r="N287" s="2">
        <v>486256</v>
      </c>
      <c r="O287" s="2">
        <v>693684</v>
      </c>
      <c r="P287" s="2" t="s">
        <v>59</v>
      </c>
    </row>
    <row r="288" spans="1:16">
      <c r="A288">
        <v>2021</v>
      </c>
      <c r="B288" t="s">
        <v>41</v>
      </c>
      <c r="C288" t="s">
        <v>29</v>
      </c>
      <c r="D288" t="s">
        <v>35</v>
      </c>
      <c r="E288">
        <v>1326</v>
      </c>
      <c r="F288">
        <v>5089</v>
      </c>
      <c r="G288">
        <v>6723</v>
      </c>
      <c r="H288">
        <v>1058</v>
      </c>
      <c r="I288" t="s">
        <v>12</v>
      </c>
      <c r="J288" s="21">
        <f ca="1">DATE(Table2[[#This Row],[Year]],MONTH(1 &amp; Table2[[#This Row],[Month]]),RANDBETWEEN(1,30))</f>
        <v>44559</v>
      </c>
      <c r="L288" s="2">
        <v>2020</v>
      </c>
      <c r="M288" s="2" t="s">
        <v>58</v>
      </c>
      <c r="N288" s="2">
        <v>257422</v>
      </c>
      <c r="O288" s="2">
        <v>312581</v>
      </c>
      <c r="P288" s="2" t="s">
        <v>53</v>
      </c>
    </row>
    <row r="289" spans="1:16">
      <c r="A289">
        <v>2021</v>
      </c>
      <c r="B289" t="s">
        <v>41</v>
      </c>
      <c r="C289" t="s">
        <v>15</v>
      </c>
      <c r="D289" t="s">
        <v>16</v>
      </c>
      <c r="E289">
        <v>633</v>
      </c>
      <c r="F289">
        <v>5905</v>
      </c>
      <c r="G289">
        <v>6477</v>
      </c>
      <c r="H289">
        <v>298</v>
      </c>
      <c r="I289" t="s">
        <v>12</v>
      </c>
      <c r="J289" s="21">
        <f ca="1">DATE(Table2[[#This Row],[Year]],MONTH(1 &amp; Table2[[#This Row],[Month]]),RANDBETWEEN(1,30))</f>
        <v>44550</v>
      </c>
      <c r="L289" s="2">
        <v>2023</v>
      </c>
      <c r="M289" s="2" t="s">
        <v>51</v>
      </c>
      <c r="N289" s="2">
        <v>152287</v>
      </c>
      <c r="O289" s="2">
        <v>531159</v>
      </c>
      <c r="P289" s="2" t="s">
        <v>53</v>
      </c>
    </row>
    <row r="290" spans="1:16">
      <c r="A290">
        <v>2021</v>
      </c>
      <c r="B290" t="s">
        <v>41</v>
      </c>
      <c r="C290" t="s">
        <v>21</v>
      </c>
      <c r="D290" t="s">
        <v>39</v>
      </c>
      <c r="E290">
        <v>3288</v>
      </c>
      <c r="F290">
        <v>9156</v>
      </c>
      <c r="G290">
        <v>2000</v>
      </c>
      <c r="H290">
        <v>2492</v>
      </c>
      <c r="I290" t="s">
        <v>18</v>
      </c>
      <c r="J290" s="21">
        <f ca="1">DATE(Table2[[#This Row],[Year]],MONTH(1 &amp; Table2[[#This Row],[Month]]),RANDBETWEEN(1,30))</f>
        <v>44556</v>
      </c>
      <c r="L290" s="2">
        <v>2021</v>
      </c>
      <c r="M290" s="2" t="s">
        <v>48</v>
      </c>
      <c r="N290" s="2">
        <v>368684</v>
      </c>
      <c r="O290" s="2">
        <v>504841</v>
      </c>
      <c r="P290" s="2" t="s">
        <v>53</v>
      </c>
    </row>
    <row r="291" spans="1:16">
      <c r="A291">
        <v>2021</v>
      </c>
      <c r="B291" t="s">
        <v>41</v>
      </c>
      <c r="C291" t="s">
        <v>15</v>
      </c>
      <c r="D291" t="s">
        <v>43</v>
      </c>
      <c r="E291">
        <v>2452</v>
      </c>
      <c r="F291">
        <v>6735</v>
      </c>
      <c r="G291">
        <v>5791</v>
      </c>
      <c r="H291">
        <v>2607</v>
      </c>
      <c r="I291" t="s">
        <v>28</v>
      </c>
      <c r="J291" s="21">
        <f ca="1">DATE(Table2[[#This Row],[Year]],MONTH(1 &amp; Table2[[#This Row],[Month]]),RANDBETWEEN(1,30))</f>
        <v>44540</v>
      </c>
      <c r="L291" s="2">
        <v>2024</v>
      </c>
      <c r="M291" s="2" t="s">
        <v>57</v>
      </c>
      <c r="N291" s="2">
        <v>391724</v>
      </c>
      <c r="O291" s="2">
        <v>657549</v>
      </c>
      <c r="P291" s="2" t="s">
        <v>59</v>
      </c>
    </row>
    <row r="292" spans="1:16">
      <c r="A292">
        <v>2021</v>
      </c>
      <c r="B292" t="s">
        <v>41</v>
      </c>
      <c r="C292" t="s">
        <v>25</v>
      </c>
      <c r="D292" t="s">
        <v>26</v>
      </c>
      <c r="E292">
        <v>3779</v>
      </c>
      <c r="F292">
        <v>8188</v>
      </c>
      <c r="G292">
        <v>4466</v>
      </c>
      <c r="H292">
        <v>2419</v>
      </c>
      <c r="I292" t="s">
        <v>12</v>
      </c>
      <c r="J292" s="21">
        <f ca="1">DATE(Table2[[#This Row],[Year]],MONTH(1 &amp; Table2[[#This Row],[Month]]),RANDBETWEEN(1,30))</f>
        <v>44556</v>
      </c>
      <c r="L292" s="2">
        <v>2021</v>
      </c>
      <c r="M292" s="2" t="s">
        <v>60</v>
      </c>
      <c r="N292" s="2">
        <v>330024</v>
      </c>
      <c r="O292" s="2">
        <v>278181</v>
      </c>
      <c r="P292" s="2" t="s">
        <v>59</v>
      </c>
    </row>
    <row r="293" spans="1:16">
      <c r="A293">
        <v>2021</v>
      </c>
      <c r="B293" t="s">
        <v>41</v>
      </c>
      <c r="C293" t="s">
        <v>25</v>
      </c>
      <c r="D293" t="s">
        <v>43</v>
      </c>
      <c r="E293">
        <v>1941</v>
      </c>
      <c r="F293">
        <v>4113</v>
      </c>
      <c r="G293">
        <v>2666</v>
      </c>
      <c r="H293">
        <v>723</v>
      </c>
      <c r="I293" t="s">
        <v>18</v>
      </c>
      <c r="J293" s="21">
        <f ca="1">DATE(Table2[[#This Row],[Year]],MONTH(1 &amp; Table2[[#This Row],[Month]]),RANDBETWEEN(1,30))</f>
        <v>44544</v>
      </c>
      <c r="L293" s="2">
        <v>2025</v>
      </c>
      <c r="M293" s="2" t="s">
        <v>61</v>
      </c>
      <c r="N293" s="2">
        <v>182727</v>
      </c>
      <c r="O293" s="2">
        <v>575899</v>
      </c>
      <c r="P293" s="2" t="s">
        <v>49</v>
      </c>
    </row>
    <row r="294" spans="1:16">
      <c r="A294">
        <v>2021</v>
      </c>
      <c r="B294" t="s">
        <v>41</v>
      </c>
      <c r="C294" t="s">
        <v>21</v>
      </c>
      <c r="D294" t="s">
        <v>26</v>
      </c>
      <c r="E294">
        <v>3880</v>
      </c>
      <c r="F294">
        <v>5860</v>
      </c>
      <c r="G294">
        <v>8585</v>
      </c>
      <c r="H294">
        <v>1157</v>
      </c>
      <c r="I294" t="s">
        <v>18</v>
      </c>
      <c r="J294" s="21">
        <f ca="1">DATE(Table2[[#This Row],[Year]],MONTH(1 &amp; Table2[[#This Row],[Month]]),RANDBETWEEN(1,30))</f>
        <v>44552</v>
      </c>
      <c r="L294" s="2">
        <v>2024</v>
      </c>
      <c r="M294" s="2" t="s">
        <v>51</v>
      </c>
      <c r="N294" s="2">
        <v>301782</v>
      </c>
      <c r="O294" s="2">
        <v>484134</v>
      </c>
      <c r="P294" s="2" t="s">
        <v>50</v>
      </c>
    </row>
    <row r="295" spans="1:16">
      <c r="A295">
        <v>2021</v>
      </c>
      <c r="B295" t="s">
        <v>41</v>
      </c>
      <c r="C295" t="s">
        <v>23</v>
      </c>
      <c r="D295" t="s">
        <v>11</v>
      </c>
      <c r="E295">
        <v>2954</v>
      </c>
      <c r="F295">
        <v>2961</v>
      </c>
      <c r="G295">
        <v>2687</v>
      </c>
      <c r="H295">
        <v>1716</v>
      </c>
      <c r="I295" t="s">
        <v>12</v>
      </c>
      <c r="J295" s="21">
        <f ca="1">DATE(Table2[[#This Row],[Year]],MONTH(1 &amp; Table2[[#This Row],[Month]]),RANDBETWEEN(1,30))</f>
        <v>44531</v>
      </c>
      <c r="L295" s="2">
        <v>2021</v>
      </c>
      <c r="M295" s="2" t="s">
        <v>57</v>
      </c>
      <c r="N295" s="2">
        <v>224876</v>
      </c>
      <c r="O295" s="2">
        <v>337333</v>
      </c>
      <c r="P295" s="2" t="s">
        <v>59</v>
      </c>
    </row>
    <row r="296" spans="1:16">
      <c r="A296">
        <v>2022</v>
      </c>
      <c r="B296" t="s">
        <v>9</v>
      </c>
      <c r="C296" t="s">
        <v>21</v>
      </c>
      <c r="D296" t="s">
        <v>22</v>
      </c>
      <c r="E296">
        <v>881</v>
      </c>
      <c r="F296">
        <v>5388</v>
      </c>
      <c r="G296">
        <v>5039</v>
      </c>
      <c r="H296">
        <v>348</v>
      </c>
      <c r="I296" t="s">
        <v>28</v>
      </c>
      <c r="J296" s="21">
        <f ca="1">DATE(Table2[[#This Row],[Year]],MONTH(1 &amp; Table2[[#This Row],[Month]]),RANDBETWEEN(1,30))</f>
        <v>44578</v>
      </c>
      <c r="L296" s="2">
        <v>2021</v>
      </c>
      <c r="M296" s="2" t="s">
        <v>58</v>
      </c>
      <c r="N296" s="2">
        <v>270987</v>
      </c>
      <c r="O296" s="2">
        <v>437217</v>
      </c>
      <c r="P296" s="2" t="s">
        <v>59</v>
      </c>
    </row>
    <row r="297" spans="1:16">
      <c r="A297">
        <v>2022</v>
      </c>
      <c r="B297" t="s">
        <v>9</v>
      </c>
      <c r="C297" t="s">
        <v>10</v>
      </c>
      <c r="D297" t="s">
        <v>30</v>
      </c>
      <c r="E297">
        <v>1174</v>
      </c>
      <c r="F297">
        <v>9680</v>
      </c>
      <c r="G297">
        <v>10000</v>
      </c>
      <c r="H297">
        <v>1688</v>
      </c>
      <c r="I297" t="s">
        <v>28</v>
      </c>
      <c r="J297" s="21">
        <f ca="1">DATE(Table2[[#This Row],[Year]],MONTH(1 &amp; Table2[[#This Row],[Month]]),RANDBETWEEN(1,30))</f>
        <v>44583</v>
      </c>
      <c r="L297" s="2">
        <v>2022</v>
      </c>
      <c r="M297" s="2" t="s">
        <v>52</v>
      </c>
      <c r="N297" s="2">
        <v>358087</v>
      </c>
      <c r="O297" s="2">
        <v>366888</v>
      </c>
      <c r="P297" s="2" t="s">
        <v>53</v>
      </c>
    </row>
    <row r="298" spans="1:16">
      <c r="A298">
        <v>2022</v>
      </c>
      <c r="B298" t="s">
        <v>9</v>
      </c>
      <c r="C298" t="s">
        <v>25</v>
      </c>
      <c r="D298" t="s">
        <v>37</v>
      </c>
      <c r="E298">
        <v>739</v>
      </c>
      <c r="F298">
        <v>5875</v>
      </c>
      <c r="G298">
        <v>7788</v>
      </c>
      <c r="H298">
        <v>1309</v>
      </c>
      <c r="I298" t="s">
        <v>18</v>
      </c>
      <c r="J298" s="21">
        <f ca="1">DATE(Table2[[#This Row],[Year]],MONTH(1 &amp; Table2[[#This Row],[Month]]),RANDBETWEEN(1,30))</f>
        <v>44564</v>
      </c>
      <c r="L298" s="2">
        <v>2020</v>
      </c>
      <c r="M298" s="2" t="s">
        <v>57</v>
      </c>
      <c r="N298" s="2">
        <v>398086</v>
      </c>
      <c r="O298" s="2">
        <v>489657</v>
      </c>
      <c r="P298" s="2" t="s">
        <v>49</v>
      </c>
    </row>
    <row r="299" spans="1:16">
      <c r="A299">
        <v>2022</v>
      </c>
      <c r="B299" t="s">
        <v>9</v>
      </c>
      <c r="C299" t="s">
        <v>23</v>
      </c>
      <c r="D299" t="s">
        <v>26</v>
      </c>
      <c r="E299">
        <v>1099</v>
      </c>
      <c r="F299">
        <v>1173</v>
      </c>
      <c r="G299">
        <v>11568</v>
      </c>
      <c r="H299">
        <v>432</v>
      </c>
      <c r="I299" t="s">
        <v>12</v>
      </c>
      <c r="J299" s="21">
        <f ca="1">DATE(Table2[[#This Row],[Year]],MONTH(1 &amp; Table2[[#This Row],[Month]]),RANDBETWEEN(1,30))</f>
        <v>44565</v>
      </c>
      <c r="L299" s="2">
        <v>2022</v>
      </c>
      <c r="M299" s="2" t="s">
        <v>58</v>
      </c>
      <c r="N299" s="2">
        <v>192890</v>
      </c>
      <c r="O299" s="2">
        <v>644500</v>
      </c>
      <c r="P299" s="2" t="s">
        <v>59</v>
      </c>
    </row>
    <row r="300" spans="1:16">
      <c r="A300">
        <v>2022</v>
      </c>
      <c r="B300" t="s">
        <v>9</v>
      </c>
      <c r="C300" t="s">
        <v>25</v>
      </c>
      <c r="D300" t="s">
        <v>30</v>
      </c>
      <c r="E300">
        <v>2693</v>
      </c>
      <c r="F300">
        <v>4706</v>
      </c>
      <c r="G300">
        <v>10617</v>
      </c>
      <c r="H300">
        <v>1742</v>
      </c>
      <c r="I300" t="s">
        <v>28</v>
      </c>
      <c r="J300" s="21">
        <f ca="1">DATE(Table2[[#This Row],[Year]],MONTH(1 &amp; Table2[[#This Row],[Month]]),RANDBETWEEN(1,30))</f>
        <v>44585</v>
      </c>
      <c r="L300" s="2">
        <v>2025</v>
      </c>
      <c r="M300" s="2" t="s">
        <v>61</v>
      </c>
      <c r="N300" s="2">
        <v>262130</v>
      </c>
      <c r="O300" s="2">
        <v>484652</v>
      </c>
      <c r="P300" s="2" t="s">
        <v>50</v>
      </c>
    </row>
    <row r="301" spans="1:16">
      <c r="A301">
        <v>2022</v>
      </c>
      <c r="B301" t="s">
        <v>9</v>
      </c>
      <c r="C301" t="s">
        <v>25</v>
      </c>
      <c r="D301" t="s">
        <v>26</v>
      </c>
      <c r="E301">
        <v>2886</v>
      </c>
      <c r="F301">
        <v>3385</v>
      </c>
      <c r="G301">
        <v>5481</v>
      </c>
      <c r="H301">
        <v>1249</v>
      </c>
      <c r="I301" t="s">
        <v>28</v>
      </c>
      <c r="J301" s="21">
        <f ca="1">DATE(Table2[[#This Row],[Year]],MONTH(1 &amp; Table2[[#This Row],[Month]]),RANDBETWEEN(1,30))</f>
        <v>44590</v>
      </c>
      <c r="L301" s="2">
        <v>2021</v>
      </c>
      <c r="M301" s="2" t="s">
        <v>61</v>
      </c>
      <c r="N301" s="2">
        <v>207665</v>
      </c>
      <c r="O301" s="2">
        <v>515861</v>
      </c>
      <c r="P301" s="2" t="s">
        <v>59</v>
      </c>
    </row>
    <row r="302" spans="1:16">
      <c r="A302">
        <v>2022</v>
      </c>
      <c r="B302" t="s">
        <v>9</v>
      </c>
      <c r="C302" t="s">
        <v>21</v>
      </c>
      <c r="D302" t="s">
        <v>38</v>
      </c>
      <c r="E302">
        <v>1419</v>
      </c>
      <c r="F302">
        <v>8578</v>
      </c>
      <c r="G302">
        <v>9661</v>
      </c>
      <c r="H302">
        <v>1677</v>
      </c>
      <c r="I302" t="s">
        <v>18</v>
      </c>
      <c r="J302" s="21">
        <f ca="1">DATE(Table2[[#This Row],[Year]],MONTH(1 &amp; Table2[[#This Row],[Month]]),RANDBETWEEN(1,30))</f>
        <v>44585</v>
      </c>
      <c r="L302" s="2">
        <v>2025</v>
      </c>
      <c r="M302" s="2" t="s">
        <v>56</v>
      </c>
      <c r="N302" s="2">
        <v>179453</v>
      </c>
      <c r="O302" s="2">
        <v>459374</v>
      </c>
      <c r="P302" s="2" t="s">
        <v>49</v>
      </c>
    </row>
    <row r="303" spans="1:16">
      <c r="A303">
        <v>2022</v>
      </c>
      <c r="B303" t="s">
        <v>9</v>
      </c>
      <c r="C303" t="s">
        <v>21</v>
      </c>
      <c r="D303" t="s">
        <v>17</v>
      </c>
      <c r="E303">
        <v>336</v>
      </c>
      <c r="F303">
        <v>1573</v>
      </c>
      <c r="G303">
        <v>10953</v>
      </c>
      <c r="H303">
        <v>1125</v>
      </c>
      <c r="I303" t="s">
        <v>18</v>
      </c>
      <c r="J303" s="21">
        <f ca="1">DATE(Table2[[#This Row],[Year]],MONTH(1 &amp; Table2[[#This Row],[Month]]),RANDBETWEEN(1,30))</f>
        <v>44584</v>
      </c>
      <c r="L303" s="2">
        <v>2023</v>
      </c>
      <c r="M303" s="2" t="s">
        <v>61</v>
      </c>
      <c r="N303" s="2">
        <v>413355</v>
      </c>
      <c r="O303" s="2">
        <v>225583</v>
      </c>
      <c r="P303" s="2" t="s">
        <v>50</v>
      </c>
    </row>
    <row r="304" spans="1:16">
      <c r="A304">
        <v>2022</v>
      </c>
      <c r="B304" t="s">
        <v>9</v>
      </c>
      <c r="C304" t="s">
        <v>29</v>
      </c>
      <c r="D304" t="s">
        <v>22</v>
      </c>
      <c r="E304">
        <v>2772</v>
      </c>
      <c r="F304">
        <v>6707</v>
      </c>
      <c r="G304">
        <v>10141</v>
      </c>
      <c r="H304">
        <v>2352</v>
      </c>
      <c r="I304" t="s">
        <v>28</v>
      </c>
      <c r="J304" s="21">
        <f ca="1">DATE(Table2[[#This Row],[Year]],MONTH(1 &amp; Table2[[#This Row],[Month]]),RANDBETWEEN(1,30))</f>
        <v>44587</v>
      </c>
      <c r="L304" s="2">
        <v>2021</v>
      </c>
      <c r="M304" s="2" t="s">
        <v>56</v>
      </c>
      <c r="N304" s="2">
        <v>463701</v>
      </c>
      <c r="O304" s="2">
        <v>316429</v>
      </c>
      <c r="P304" s="2" t="s">
        <v>50</v>
      </c>
    </row>
    <row r="305" spans="1:16">
      <c r="A305">
        <v>2022</v>
      </c>
      <c r="B305" t="s">
        <v>9</v>
      </c>
      <c r="C305" t="s">
        <v>25</v>
      </c>
      <c r="D305" t="s">
        <v>11</v>
      </c>
      <c r="E305">
        <v>1303</v>
      </c>
      <c r="F305">
        <v>4700</v>
      </c>
      <c r="G305">
        <v>8630</v>
      </c>
      <c r="H305">
        <v>1817</v>
      </c>
      <c r="I305" t="s">
        <v>28</v>
      </c>
      <c r="J305" s="21">
        <f ca="1">DATE(Table2[[#This Row],[Year]],MONTH(1 &amp; Table2[[#This Row],[Month]]),RANDBETWEEN(1,30))</f>
        <v>44589</v>
      </c>
      <c r="L305" s="2">
        <v>2023</v>
      </c>
      <c r="M305" s="2" t="s">
        <v>52</v>
      </c>
      <c r="N305" s="2">
        <v>248093</v>
      </c>
      <c r="O305" s="2">
        <v>446001</v>
      </c>
      <c r="P305" s="2" t="s">
        <v>53</v>
      </c>
    </row>
    <row r="306" spans="1:16">
      <c r="A306">
        <v>2022</v>
      </c>
      <c r="B306" t="s">
        <v>9</v>
      </c>
      <c r="C306" t="s">
        <v>10</v>
      </c>
      <c r="D306" t="s">
        <v>39</v>
      </c>
      <c r="E306">
        <v>1766</v>
      </c>
      <c r="F306">
        <v>8533</v>
      </c>
      <c r="G306">
        <v>10661</v>
      </c>
      <c r="H306">
        <v>2732</v>
      </c>
      <c r="I306" t="s">
        <v>12</v>
      </c>
      <c r="J306" s="21">
        <f ca="1">DATE(Table2[[#This Row],[Year]],MONTH(1 &amp; Table2[[#This Row],[Month]]),RANDBETWEEN(1,30))</f>
        <v>44575</v>
      </c>
      <c r="L306" s="2">
        <v>2025</v>
      </c>
      <c r="M306" s="2" t="s">
        <v>48</v>
      </c>
      <c r="N306" s="2">
        <v>400512</v>
      </c>
      <c r="O306" s="2">
        <v>355118</v>
      </c>
      <c r="P306" s="2" t="s">
        <v>50</v>
      </c>
    </row>
    <row r="307" spans="1:16">
      <c r="A307">
        <v>2022</v>
      </c>
      <c r="B307" t="s">
        <v>9</v>
      </c>
      <c r="C307" t="s">
        <v>23</v>
      </c>
      <c r="D307" t="s">
        <v>30</v>
      </c>
      <c r="E307">
        <v>3315</v>
      </c>
      <c r="F307">
        <v>9932</v>
      </c>
      <c r="G307">
        <v>9534</v>
      </c>
      <c r="H307">
        <v>2799</v>
      </c>
      <c r="I307" t="s">
        <v>18</v>
      </c>
      <c r="J307" s="21">
        <f ca="1">DATE(Table2[[#This Row],[Year]],MONTH(1 &amp; Table2[[#This Row],[Month]]),RANDBETWEEN(1,30))</f>
        <v>44571</v>
      </c>
      <c r="L307" s="2">
        <v>2020</v>
      </c>
      <c r="M307" s="2" t="s">
        <v>48</v>
      </c>
      <c r="N307" s="2">
        <v>458798</v>
      </c>
      <c r="O307" s="2">
        <v>290882</v>
      </c>
      <c r="P307" s="2" t="s">
        <v>59</v>
      </c>
    </row>
    <row r="308" spans="1:16">
      <c r="A308">
        <v>2022</v>
      </c>
      <c r="B308" t="s">
        <v>19</v>
      </c>
      <c r="C308" t="s">
        <v>10</v>
      </c>
      <c r="D308" t="s">
        <v>34</v>
      </c>
      <c r="E308">
        <v>2918</v>
      </c>
      <c r="F308">
        <v>9168</v>
      </c>
      <c r="G308">
        <v>7149</v>
      </c>
      <c r="H308">
        <v>1021</v>
      </c>
      <c r="I308" t="s">
        <v>12</v>
      </c>
      <c r="J308" s="21">
        <f ca="1">DATE(Table2[[#This Row],[Year]],MONTH(1 &amp; Table2[[#This Row],[Month]]),RANDBETWEEN(1,30))</f>
        <v>44618</v>
      </c>
      <c r="L308" s="2">
        <v>2025</v>
      </c>
      <c r="M308" s="2" t="s">
        <v>48</v>
      </c>
      <c r="N308" s="2">
        <v>438450</v>
      </c>
      <c r="O308" s="2">
        <v>452066</v>
      </c>
      <c r="P308" s="2" t="s">
        <v>49</v>
      </c>
    </row>
    <row r="309" spans="1:16">
      <c r="A309">
        <v>2022</v>
      </c>
      <c r="B309" t="s">
        <v>19</v>
      </c>
      <c r="C309" t="s">
        <v>25</v>
      </c>
      <c r="D309" t="s">
        <v>35</v>
      </c>
      <c r="E309">
        <v>3390</v>
      </c>
      <c r="F309">
        <v>6911</v>
      </c>
      <c r="G309">
        <v>7048</v>
      </c>
      <c r="H309">
        <v>1979</v>
      </c>
      <c r="I309" t="s">
        <v>18</v>
      </c>
      <c r="J309" s="21">
        <f ca="1">DATE(Table2[[#This Row],[Year]],MONTH(1 &amp; Table2[[#This Row],[Month]]),RANDBETWEEN(1,30))</f>
        <v>44594</v>
      </c>
      <c r="L309" s="2">
        <v>2025</v>
      </c>
      <c r="M309" s="2" t="s">
        <v>48</v>
      </c>
      <c r="N309" s="2">
        <v>173125</v>
      </c>
      <c r="O309" s="2">
        <v>361405</v>
      </c>
      <c r="P309" s="2" t="s">
        <v>50</v>
      </c>
    </row>
    <row r="310" spans="1:16">
      <c r="A310">
        <v>2022</v>
      </c>
      <c r="B310" t="s">
        <v>19</v>
      </c>
      <c r="C310" t="s">
        <v>23</v>
      </c>
      <c r="D310" t="s">
        <v>38</v>
      </c>
      <c r="E310">
        <v>3410</v>
      </c>
      <c r="F310">
        <v>2045</v>
      </c>
      <c r="G310">
        <v>10030</v>
      </c>
      <c r="H310">
        <v>1222</v>
      </c>
      <c r="I310" t="s">
        <v>18</v>
      </c>
      <c r="J310" s="21">
        <f ca="1">DATE(Table2[[#This Row],[Year]],MONTH(1 &amp; Table2[[#This Row],[Month]]),RANDBETWEEN(1,30))</f>
        <v>44604</v>
      </c>
      <c r="L310" s="2">
        <v>2024</v>
      </c>
      <c r="M310" s="2" t="s">
        <v>54</v>
      </c>
      <c r="N310" s="2">
        <v>482517</v>
      </c>
      <c r="O310" s="2">
        <v>329054</v>
      </c>
      <c r="P310" s="2" t="s">
        <v>59</v>
      </c>
    </row>
    <row r="311" spans="1:16">
      <c r="A311">
        <v>2022</v>
      </c>
      <c r="B311" t="s">
        <v>19</v>
      </c>
      <c r="C311" t="s">
        <v>29</v>
      </c>
      <c r="D311" t="s">
        <v>34</v>
      </c>
      <c r="E311">
        <v>186</v>
      </c>
      <c r="F311">
        <v>8813</v>
      </c>
      <c r="G311">
        <v>5215</v>
      </c>
      <c r="H311">
        <v>1907</v>
      </c>
      <c r="I311" t="s">
        <v>12</v>
      </c>
      <c r="J311" s="21">
        <f ca="1">DATE(Table2[[#This Row],[Year]],MONTH(1 &amp; Table2[[#This Row],[Month]]),RANDBETWEEN(1,30))</f>
        <v>44609</v>
      </c>
      <c r="L311" s="2">
        <v>2024</v>
      </c>
      <c r="M311" s="2" t="s">
        <v>52</v>
      </c>
      <c r="N311" s="2">
        <v>250671</v>
      </c>
      <c r="O311" s="2">
        <v>431993</v>
      </c>
      <c r="P311" s="2" t="s">
        <v>49</v>
      </c>
    </row>
    <row r="312" spans="1:16">
      <c r="A312">
        <v>2022</v>
      </c>
      <c r="B312" t="s">
        <v>19</v>
      </c>
      <c r="C312" t="s">
        <v>23</v>
      </c>
      <c r="D312" t="s">
        <v>17</v>
      </c>
      <c r="E312">
        <v>3314</v>
      </c>
      <c r="F312">
        <v>9636</v>
      </c>
      <c r="G312">
        <v>10222</v>
      </c>
      <c r="H312">
        <v>966</v>
      </c>
      <c r="I312" t="s">
        <v>12</v>
      </c>
      <c r="J312" s="21">
        <f ca="1">DATE(Table2[[#This Row],[Year]],MONTH(1 &amp; Table2[[#This Row],[Month]]),RANDBETWEEN(1,30))</f>
        <v>44597</v>
      </c>
      <c r="L312" s="2">
        <v>2021</v>
      </c>
      <c r="M312" s="2" t="s">
        <v>61</v>
      </c>
      <c r="N312" s="2">
        <v>235696</v>
      </c>
      <c r="O312" s="2">
        <v>266642</v>
      </c>
      <c r="P312" s="2" t="s">
        <v>50</v>
      </c>
    </row>
    <row r="313" spans="1:16">
      <c r="A313">
        <v>2022</v>
      </c>
      <c r="B313" t="s">
        <v>19</v>
      </c>
      <c r="C313" t="s">
        <v>29</v>
      </c>
      <c r="D313" t="s">
        <v>17</v>
      </c>
      <c r="E313">
        <v>1750</v>
      </c>
      <c r="F313">
        <v>1536</v>
      </c>
      <c r="G313">
        <v>8078</v>
      </c>
      <c r="H313">
        <v>810</v>
      </c>
      <c r="I313" t="s">
        <v>12</v>
      </c>
      <c r="J313" s="21">
        <f ca="1">DATE(Table2[[#This Row],[Year]],MONTH(1 &amp; Table2[[#This Row],[Month]]),RANDBETWEEN(1,30))</f>
        <v>44610</v>
      </c>
      <c r="L313" s="2">
        <v>2021</v>
      </c>
      <c r="M313" s="2" t="s">
        <v>48</v>
      </c>
      <c r="N313" s="2">
        <v>124973</v>
      </c>
      <c r="O313" s="2">
        <v>663873</v>
      </c>
      <c r="P313" s="2" t="s">
        <v>53</v>
      </c>
    </row>
    <row r="314" spans="1:16">
      <c r="A314">
        <v>2022</v>
      </c>
      <c r="B314" t="s">
        <v>36</v>
      </c>
      <c r="C314" t="s">
        <v>23</v>
      </c>
      <c r="D314" t="s">
        <v>42</v>
      </c>
      <c r="E314">
        <v>2455</v>
      </c>
      <c r="F314">
        <v>5655</v>
      </c>
      <c r="G314">
        <v>5571</v>
      </c>
      <c r="H314">
        <v>795</v>
      </c>
      <c r="I314" t="s">
        <v>28</v>
      </c>
      <c r="J314" s="21">
        <f ca="1">DATE(Table2[[#This Row],[Year]],MONTH(1 &amp; Table2[[#This Row],[Month]]),RANDBETWEEN(1,30))</f>
        <v>44643</v>
      </c>
      <c r="L314" s="2">
        <v>2024</v>
      </c>
      <c r="M314" s="2" t="s">
        <v>60</v>
      </c>
      <c r="N314" s="2">
        <v>294469</v>
      </c>
      <c r="O314" s="2">
        <v>633851</v>
      </c>
      <c r="P314" s="2" t="s">
        <v>59</v>
      </c>
    </row>
    <row r="315" spans="1:16">
      <c r="A315">
        <v>2022</v>
      </c>
      <c r="B315" t="s">
        <v>36</v>
      </c>
      <c r="C315" t="s">
        <v>15</v>
      </c>
      <c r="D315" t="s">
        <v>34</v>
      </c>
      <c r="E315">
        <v>480</v>
      </c>
      <c r="F315">
        <v>3757</v>
      </c>
      <c r="G315">
        <v>10433</v>
      </c>
      <c r="H315">
        <v>1832</v>
      </c>
      <c r="I315" t="s">
        <v>18</v>
      </c>
      <c r="J315" s="21">
        <f ca="1">DATE(Table2[[#This Row],[Year]],MONTH(1 &amp; Table2[[#This Row],[Month]]),RANDBETWEEN(1,30))</f>
        <v>44628</v>
      </c>
      <c r="L315" s="2">
        <v>2025</v>
      </c>
      <c r="M315" s="2" t="s">
        <v>52</v>
      </c>
      <c r="N315" s="2">
        <v>143605</v>
      </c>
      <c r="O315" s="2">
        <v>553810</v>
      </c>
      <c r="P315" s="2" t="s">
        <v>59</v>
      </c>
    </row>
    <row r="316" spans="1:16">
      <c r="A316">
        <v>2022</v>
      </c>
      <c r="B316" t="s">
        <v>36</v>
      </c>
      <c r="C316" t="s">
        <v>29</v>
      </c>
      <c r="D316" t="s">
        <v>20</v>
      </c>
      <c r="E316">
        <v>855</v>
      </c>
      <c r="F316">
        <v>1587</v>
      </c>
      <c r="G316">
        <v>4350</v>
      </c>
      <c r="H316">
        <v>2248</v>
      </c>
      <c r="I316" t="s">
        <v>18</v>
      </c>
      <c r="J316" s="21">
        <f ca="1">DATE(Table2[[#This Row],[Year]],MONTH(1 &amp; Table2[[#This Row],[Month]]),RANDBETWEEN(1,30))</f>
        <v>44649</v>
      </c>
      <c r="L316" s="2">
        <v>2025</v>
      </c>
      <c r="M316" s="2" t="s">
        <v>58</v>
      </c>
      <c r="N316" s="2">
        <v>199416</v>
      </c>
      <c r="O316" s="2">
        <v>253107</v>
      </c>
      <c r="P316" s="2" t="s">
        <v>53</v>
      </c>
    </row>
    <row r="317" spans="1:16">
      <c r="A317">
        <v>2022</v>
      </c>
      <c r="B317" t="s">
        <v>36</v>
      </c>
      <c r="C317" t="s">
        <v>29</v>
      </c>
      <c r="D317" t="s">
        <v>42</v>
      </c>
      <c r="E317">
        <v>1075</v>
      </c>
      <c r="F317">
        <v>6612</v>
      </c>
      <c r="G317">
        <v>8136</v>
      </c>
      <c r="H317">
        <v>2988</v>
      </c>
      <c r="I317" t="s">
        <v>12</v>
      </c>
      <c r="J317" s="21">
        <f ca="1">DATE(Table2[[#This Row],[Year]],MONTH(1 &amp; Table2[[#This Row],[Month]]),RANDBETWEEN(1,30))</f>
        <v>44626</v>
      </c>
      <c r="L317" s="2">
        <v>2021</v>
      </c>
      <c r="M317" s="2" t="s">
        <v>48</v>
      </c>
      <c r="N317" s="2">
        <v>226777</v>
      </c>
      <c r="O317" s="2">
        <v>587939</v>
      </c>
      <c r="P317" s="2" t="s">
        <v>50</v>
      </c>
    </row>
    <row r="318" spans="1:16">
      <c r="A318">
        <v>2022</v>
      </c>
      <c r="B318" t="s">
        <v>36</v>
      </c>
      <c r="C318" t="s">
        <v>23</v>
      </c>
      <c r="D318" t="s">
        <v>34</v>
      </c>
      <c r="E318">
        <v>1910</v>
      </c>
      <c r="F318">
        <v>5773</v>
      </c>
      <c r="G318">
        <v>5029</v>
      </c>
      <c r="H318">
        <v>937</v>
      </c>
      <c r="I318" t="s">
        <v>12</v>
      </c>
      <c r="J318" s="21">
        <f ca="1">DATE(Table2[[#This Row],[Year]],MONTH(1 &amp; Table2[[#This Row],[Month]]),RANDBETWEEN(1,30))</f>
        <v>44641</v>
      </c>
      <c r="L318" s="2">
        <v>2021</v>
      </c>
      <c r="M318" s="2" t="s">
        <v>60</v>
      </c>
      <c r="N318" s="2">
        <v>423531</v>
      </c>
      <c r="O318" s="2">
        <v>603979</v>
      </c>
      <c r="P318" s="2" t="s">
        <v>59</v>
      </c>
    </row>
    <row r="319" spans="1:16">
      <c r="A319">
        <v>2022</v>
      </c>
      <c r="B319" t="s">
        <v>36</v>
      </c>
      <c r="C319" t="s">
        <v>23</v>
      </c>
      <c r="D319" t="s">
        <v>37</v>
      </c>
      <c r="E319">
        <v>2173</v>
      </c>
      <c r="F319">
        <v>1845</v>
      </c>
      <c r="G319">
        <v>8302</v>
      </c>
      <c r="H319">
        <v>2816</v>
      </c>
      <c r="I319" t="s">
        <v>12</v>
      </c>
      <c r="J319" s="21">
        <f ca="1">DATE(Table2[[#This Row],[Year]],MONTH(1 &amp; Table2[[#This Row],[Month]]),RANDBETWEEN(1,30))</f>
        <v>44649</v>
      </c>
      <c r="L319" s="2">
        <v>2020</v>
      </c>
      <c r="M319" s="2" t="s">
        <v>58</v>
      </c>
      <c r="N319" s="2">
        <v>450195</v>
      </c>
      <c r="O319" s="2">
        <v>583882</v>
      </c>
      <c r="P319" s="2" t="s">
        <v>59</v>
      </c>
    </row>
    <row r="320" spans="1:16">
      <c r="A320">
        <v>2022</v>
      </c>
      <c r="B320" t="s">
        <v>36</v>
      </c>
      <c r="C320" t="s">
        <v>29</v>
      </c>
      <c r="D320" t="s">
        <v>38</v>
      </c>
      <c r="E320">
        <v>909</v>
      </c>
      <c r="F320">
        <v>2460</v>
      </c>
      <c r="G320">
        <v>3990</v>
      </c>
      <c r="H320">
        <v>2828</v>
      </c>
      <c r="I320" t="s">
        <v>12</v>
      </c>
      <c r="J320" s="21">
        <f ca="1">DATE(Table2[[#This Row],[Year]],MONTH(1 &amp; Table2[[#This Row],[Month]]),RANDBETWEEN(1,30))</f>
        <v>44646</v>
      </c>
      <c r="L320" s="2">
        <v>2021</v>
      </c>
      <c r="M320" s="2" t="s">
        <v>52</v>
      </c>
      <c r="N320" s="2">
        <v>220987</v>
      </c>
      <c r="O320" s="2">
        <v>256983</v>
      </c>
      <c r="P320" s="2" t="s">
        <v>50</v>
      </c>
    </row>
    <row r="321" spans="1:16">
      <c r="A321">
        <v>2022</v>
      </c>
      <c r="B321" t="s">
        <v>36</v>
      </c>
      <c r="C321" t="s">
        <v>10</v>
      </c>
      <c r="D321" t="s">
        <v>11</v>
      </c>
      <c r="E321">
        <v>3973</v>
      </c>
      <c r="F321">
        <v>5187</v>
      </c>
      <c r="G321">
        <v>8925</v>
      </c>
      <c r="H321">
        <v>2340</v>
      </c>
      <c r="I321" t="s">
        <v>28</v>
      </c>
      <c r="J321" s="21">
        <f ca="1">DATE(Table2[[#This Row],[Year]],MONTH(1 &amp; Table2[[#This Row],[Month]]),RANDBETWEEN(1,30))</f>
        <v>44627</v>
      </c>
      <c r="L321" s="2">
        <v>2023</v>
      </c>
      <c r="M321" s="2" t="s">
        <v>54</v>
      </c>
      <c r="N321" s="2">
        <v>443479</v>
      </c>
      <c r="O321" s="2">
        <v>521954</v>
      </c>
      <c r="P321" s="2" t="s">
        <v>53</v>
      </c>
    </row>
    <row r="322" spans="1:16">
      <c r="A322">
        <v>2022</v>
      </c>
      <c r="B322" t="s">
        <v>36</v>
      </c>
      <c r="C322" t="s">
        <v>21</v>
      </c>
      <c r="D322" t="s">
        <v>22</v>
      </c>
      <c r="E322">
        <v>3072</v>
      </c>
      <c r="F322">
        <v>6707</v>
      </c>
      <c r="G322">
        <v>2151</v>
      </c>
      <c r="H322">
        <v>1058</v>
      </c>
      <c r="I322" t="s">
        <v>12</v>
      </c>
      <c r="J322" s="21">
        <f ca="1">DATE(Table2[[#This Row],[Year]],MONTH(1 &amp; Table2[[#This Row],[Month]]),RANDBETWEEN(1,30))</f>
        <v>44625</v>
      </c>
      <c r="L322" s="2">
        <v>2020</v>
      </c>
      <c r="M322" s="2" t="s">
        <v>56</v>
      </c>
      <c r="N322" s="2">
        <v>442892</v>
      </c>
      <c r="O322" s="2">
        <v>617162</v>
      </c>
      <c r="P322" s="2" t="s">
        <v>50</v>
      </c>
    </row>
    <row r="323" spans="1:16">
      <c r="A323">
        <v>2022</v>
      </c>
      <c r="B323" t="s">
        <v>36</v>
      </c>
      <c r="C323" t="s">
        <v>21</v>
      </c>
      <c r="D323" t="s">
        <v>35</v>
      </c>
      <c r="E323">
        <v>2170</v>
      </c>
      <c r="F323">
        <v>5153</v>
      </c>
      <c r="G323">
        <v>2147</v>
      </c>
      <c r="H323">
        <v>1212</v>
      </c>
      <c r="I323" t="s">
        <v>28</v>
      </c>
      <c r="J323" s="21">
        <f ca="1">DATE(Table2[[#This Row],[Year]],MONTH(1 &amp; Table2[[#This Row],[Month]]),RANDBETWEEN(1,30))</f>
        <v>44621</v>
      </c>
      <c r="L323" s="2">
        <v>2022</v>
      </c>
      <c r="M323" s="2" t="s">
        <v>61</v>
      </c>
      <c r="N323" s="2">
        <v>405860</v>
      </c>
      <c r="O323" s="2">
        <v>488677</v>
      </c>
      <c r="P323" s="2" t="s">
        <v>49</v>
      </c>
    </row>
    <row r="324" spans="1:16">
      <c r="A324">
        <v>2022</v>
      </c>
      <c r="B324" t="s">
        <v>36</v>
      </c>
      <c r="C324" t="s">
        <v>23</v>
      </c>
      <c r="D324" t="s">
        <v>43</v>
      </c>
      <c r="E324">
        <v>1584</v>
      </c>
      <c r="F324">
        <v>7739</v>
      </c>
      <c r="G324">
        <v>11514</v>
      </c>
      <c r="H324">
        <v>310</v>
      </c>
      <c r="I324" t="s">
        <v>12</v>
      </c>
      <c r="J324" s="21">
        <f ca="1">DATE(Table2[[#This Row],[Year]],MONTH(1 &amp; Table2[[#This Row],[Month]]),RANDBETWEEN(1,30))</f>
        <v>44623</v>
      </c>
      <c r="L324" s="2">
        <v>2021</v>
      </c>
      <c r="M324" s="2" t="s">
        <v>55</v>
      </c>
      <c r="N324" s="2">
        <v>158678</v>
      </c>
      <c r="O324" s="2">
        <v>523204</v>
      </c>
      <c r="P324" s="2" t="s">
        <v>50</v>
      </c>
    </row>
    <row r="325" spans="1:16">
      <c r="A325">
        <v>2022</v>
      </c>
      <c r="B325" t="s">
        <v>36</v>
      </c>
      <c r="C325" t="s">
        <v>25</v>
      </c>
      <c r="D325" t="s">
        <v>20</v>
      </c>
      <c r="E325">
        <v>206</v>
      </c>
      <c r="F325">
        <v>5061</v>
      </c>
      <c r="G325">
        <v>2114</v>
      </c>
      <c r="H325">
        <v>2662</v>
      </c>
      <c r="I325" t="s">
        <v>12</v>
      </c>
      <c r="J325" s="21">
        <f ca="1">DATE(Table2[[#This Row],[Year]],MONTH(1 &amp; Table2[[#This Row],[Month]]),RANDBETWEEN(1,30))</f>
        <v>44630</v>
      </c>
      <c r="L325" s="2">
        <v>2021</v>
      </c>
      <c r="M325" s="2" t="s">
        <v>55</v>
      </c>
      <c r="N325" s="2">
        <v>376129</v>
      </c>
      <c r="O325" s="2">
        <v>429182</v>
      </c>
      <c r="P325" s="2" t="s">
        <v>59</v>
      </c>
    </row>
    <row r="326" spans="1:16">
      <c r="A326">
        <v>2022</v>
      </c>
      <c r="B326" t="s">
        <v>36</v>
      </c>
      <c r="C326" t="s">
        <v>15</v>
      </c>
      <c r="D326" t="s">
        <v>42</v>
      </c>
      <c r="E326">
        <v>1732</v>
      </c>
      <c r="F326">
        <v>5657</v>
      </c>
      <c r="G326">
        <v>11363</v>
      </c>
      <c r="H326">
        <v>2491</v>
      </c>
      <c r="I326" t="s">
        <v>28</v>
      </c>
      <c r="J326" s="21">
        <f ca="1">DATE(Table2[[#This Row],[Year]],MONTH(1 &amp; Table2[[#This Row],[Month]]),RANDBETWEEN(1,30))</f>
        <v>44643</v>
      </c>
      <c r="L326" s="2">
        <v>2023</v>
      </c>
      <c r="M326" s="2" t="s">
        <v>60</v>
      </c>
      <c r="N326" s="2">
        <v>478010</v>
      </c>
      <c r="O326" s="2">
        <v>464354</v>
      </c>
      <c r="P326" s="2" t="s">
        <v>49</v>
      </c>
    </row>
    <row r="327" spans="1:16">
      <c r="A327">
        <v>2022</v>
      </c>
      <c r="B327" t="s">
        <v>14</v>
      </c>
      <c r="C327" t="s">
        <v>29</v>
      </c>
      <c r="D327" t="s">
        <v>35</v>
      </c>
      <c r="E327">
        <v>2716</v>
      </c>
      <c r="F327">
        <v>2092</v>
      </c>
      <c r="G327">
        <v>10919</v>
      </c>
      <c r="H327">
        <v>1514</v>
      </c>
      <c r="I327" t="s">
        <v>28</v>
      </c>
      <c r="J327" s="21">
        <f ca="1">DATE(Table2[[#This Row],[Year]],MONTH(1 &amp; Table2[[#This Row],[Month]]),RANDBETWEEN(1,30))</f>
        <v>44655</v>
      </c>
      <c r="L327" s="2">
        <v>2020</v>
      </c>
      <c r="M327" s="2" t="s">
        <v>58</v>
      </c>
      <c r="N327" s="2">
        <v>373016</v>
      </c>
      <c r="O327" s="2">
        <v>217188</v>
      </c>
      <c r="P327" s="2" t="s">
        <v>49</v>
      </c>
    </row>
    <row r="328" spans="1:16">
      <c r="A328">
        <v>2022</v>
      </c>
      <c r="B328" t="s">
        <v>14</v>
      </c>
      <c r="C328" t="s">
        <v>25</v>
      </c>
      <c r="D328" t="s">
        <v>23</v>
      </c>
      <c r="E328">
        <v>3501</v>
      </c>
      <c r="F328">
        <v>7426</v>
      </c>
      <c r="G328">
        <v>3614</v>
      </c>
      <c r="H328">
        <v>1671</v>
      </c>
      <c r="I328" t="s">
        <v>28</v>
      </c>
      <c r="J328" s="21">
        <f ca="1">DATE(Table2[[#This Row],[Year]],MONTH(1 &amp; Table2[[#This Row],[Month]]),RANDBETWEEN(1,30))</f>
        <v>44669</v>
      </c>
      <c r="L328" s="2">
        <v>2024</v>
      </c>
      <c r="M328" s="2" t="s">
        <v>61</v>
      </c>
      <c r="N328" s="2">
        <v>232647</v>
      </c>
      <c r="O328" s="2">
        <v>519482</v>
      </c>
      <c r="P328" s="2" t="s">
        <v>50</v>
      </c>
    </row>
    <row r="329" spans="1:16">
      <c r="A329">
        <v>2022</v>
      </c>
      <c r="B329" t="s">
        <v>14</v>
      </c>
      <c r="C329" t="s">
        <v>29</v>
      </c>
      <c r="D329" t="s">
        <v>16</v>
      </c>
      <c r="E329">
        <v>2614</v>
      </c>
      <c r="F329">
        <v>6456</v>
      </c>
      <c r="G329">
        <v>4419</v>
      </c>
      <c r="H329">
        <v>289</v>
      </c>
      <c r="I329" t="s">
        <v>12</v>
      </c>
      <c r="J329" s="21">
        <f ca="1">DATE(Table2[[#This Row],[Year]],MONTH(1 &amp; Table2[[#This Row],[Month]]),RANDBETWEEN(1,30))</f>
        <v>44679</v>
      </c>
      <c r="L329" s="2">
        <v>2021</v>
      </c>
      <c r="M329" s="2" t="s">
        <v>48</v>
      </c>
      <c r="N329" s="2">
        <v>300232</v>
      </c>
      <c r="O329" s="2">
        <v>240724</v>
      </c>
      <c r="P329" s="2" t="s">
        <v>59</v>
      </c>
    </row>
    <row r="330" spans="1:16">
      <c r="A330">
        <v>2022</v>
      </c>
      <c r="B330" t="s">
        <v>14</v>
      </c>
      <c r="C330" t="s">
        <v>23</v>
      </c>
      <c r="D330" t="s">
        <v>38</v>
      </c>
      <c r="E330">
        <v>441</v>
      </c>
      <c r="F330">
        <v>9929</v>
      </c>
      <c r="G330">
        <v>6029</v>
      </c>
      <c r="H330">
        <v>702</v>
      </c>
      <c r="I330" t="s">
        <v>12</v>
      </c>
      <c r="J330" s="21">
        <f ca="1">DATE(Table2[[#This Row],[Year]],MONTH(1 &amp; Table2[[#This Row],[Month]]),RANDBETWEEN(1,30))</f>
        <v>44662</v>
      </c>
      <c r="L330" s="2">
        <v>2020</v>
      </c>
      <c r="M330" s="2" t="s">
        <v>55</v>
      </c>
      <c r="N330" s="2">
        <v>358290</v>
      </c>
      <c r="O330" s="2">
        <v>417507</v>
      </c>
      <c r="P330" s="2" t="s">
        <v>49</v>
      </c>
    </row>
    <row r="331" spans="1:16">
      <c r="A331">
        <v>2022</v>
      </c>
      <c r="B331" t="s">
        <v>14</v>
      </c>
      <c r="C331" t="s">
        <v>15</v>
      </c>
      <c r="D331" t="s">
        <v>26</v>
      </c>
      <c r="E331">
        <v>400</v>
      </c>
      <c r="F331">
        <v>8357</v>
      </c>
      <c r="G331">
        <v>11292</v>
      </c>
      <c r="H331">
        <v>675</v>
      </c>
      <c r="I331" t="s">
        <v>28</v>
      </c>
      <c r="J331" s="21">
        <f ca="1">DATE(Table2[[#This Row],[Year]],MONTH(1 &amp; Table2[[#This Row],[Month]]),RANDBETWEEN(1,30))</f>
        <v>44676</v>
      </c>
      <c r="L331" s="2">
        <v>2020</v>
      </c>
      <c r="M331" s="2" t="s">
        <v>60</v>
      </c>
      <c r="N331" s="2">
        <v>304228</v>
      </c>
      <c r="O331" s="2">
        <v>346328</v>
      </c>
      <c r="P331" s="2" t="s">
        <v>53</v>
      </c>
    </row>
    <row r="332" spans="1:16">
      <c r="A332">
        <v>2022</v>
      </c>
      <c r="B332" t="s">
        <v>14</v>
      </c>
      <c r="C332" t="s">
        <v>10</v>
      </c>
      <c r="D332" t="s">
        <v>17</v>
      </c>
      <c r="E332">
        <v>2785</v>
      </c>
      <c r="F332">
        <v>6952</v>
      </c>
      <c r="G332">
        <v>3202</v>
      </c>
      <c r="H332">
        <v>2512</v>
      </c>
      <c r="I332" t="s">
        <v>18</v>
      </c>
      <c r="J332" s="21">
        <f ca="1">DATE(Table2[[#This Row],[Year]],MONTH(1 &amp; Table2[[#This Row],[Month]]),RANDBETWEEN(1,30))</f>
        <v>44660</v>
      </c>
      <c r="L332" s="2">
        <v>2023</v>
      </c>
      <c r="M332" s="2" t="s">
        <v>48</v>
      </c>
      <c r="N332" s="2">
        <v>147981</v>
      </c>
      <c r="O332" s="2">
        <v>472714</v>
      </c>
      <c r="P332" s="2" t="s">
        <v>59</v>
      </c>
    </row>
    <row r="333" spans="1:16">
      <c r="A333">
        <v>2022</v>
      </c>
      <c r="B333" t="s">
        <v>14</v>
      </c>
      <c r="C333" t="s">
        <v>23</v>
      </c>
      <c r="D333" t="s">
        <v>38</v>
      </c>
      <c r="E333">
        <v>1651</v>
      </c>
      <c r="F333">
        <v>4874</v>
      </c>
      <c r="G333">
        <v>2640</v>
      </c>
      <c r="H333">
        <v>312</v>
      </c>
      <c r="I333" t="s">
        <v>18</v>
      </c>
      <c r="J333" s="21">
        <f ca="1">DATE(Table2[[#This Row],[Year]],MONTH(1 &amp; Table2[[#This Row],[Month]]),RANDBETWEEN(1,30))</f>
        <v>44659</v>
      </c>
      <c r="L333" s="2">
        <v>2023</v>
      </c>
      <c r="M333" s="2" t="s">
        <v>51</v>
      </c>
      <c r="N333" s="2">
        <v>224826</v>
      </c>
      <c r="O333" s="2">
        <v>266708</v>
      </c>
      <c r="P333" s="2" t="s">
        <v>59</v>
      </c>
    </row>
    <row r="334" spans="1:16">
      <c r="A334">
        <v>2022</v>
      </c>
      <c r="B334" t="s">
        <v>14</v>
      </c>
      <c r="C334" t="s">
        <v>29</v>
      </c>
      <c r="D334" t="s">
        <v>11</v>
      </c>
      <c r="E334">
        <v>492</v>
      </c>
      <c r="F334">
        <v>6615</v>
      </c>
      <c r="G334">
        <v>9039</v>
      </c>
      <c r="H334">
        <v>2435</v>
      </c>
      <c r="I334" t="s">
        <v>18</v>
      </c>
      <c r="J334" s="21">
        <f ca="1">DATE(Table2[[#This Row],[Year]],MONTH(1 &amp; Table2[[#This Row],[Month]]),RANDBETWEEN(1,30))</f>
        <v>44665</v>
      </c>
      <c r="L334" s="2">
        <v>2024</v>
      </c>
      <c r="M334" s="2" t="s">
        <v>60</v>
      </c>
      <c r="N334" s="2">
        <v>420958</v>
      </c>
      <c r="O334" s="2">
        <v>545822</v>
      </c>
      <c r="P334" s="2" t="s">
        <v>50</v>
      </c>
    </row>
    <row r="335" spans="1:16">
      <c r="A335">
        <v>2022</v>
      </c>
      <c r="B335" t="s">
        <v>14</v>
      </c>
      <c r="C335" t="s">
        <v>21</v>
      </c>
      <c r="D335" t="s">
        <v>35</v>
      </c>
      <c r="E335">
        <v>2150</v>
      </c>
      <c r="F335">
        <v>8077</v>
      </c>
      <c r="G335">
        <v>9012</v>
      </c>
      <c r="H335">
        <v>1194</v>
      </c>
      <c r="I335" t="s">
        <v>28</v>
      </c>
      <c r="J335" s="21">
        <f ca="1">DATE(Table2[[#This Row],[Year]],MONTH(1 &amp; Table2[[#This Row],[Month]]),RANDBETWEEN(1,30))</f>
        <v>44666</v>
      </c>
      <c r="L335" s="2">
        <v>2022</v>
      </c>
      <c r="M335" s="2" t="s">
        <v>61</v>
      </c>
      <c r="N335" s="2">
        <v>444567</v>
      </c>
      <c r="O335" s="2">
        <v>597506</v>
      </c>
      <c r="P335" s="2" t="s">
        <v>59</v>
      </c>
    </row>
    <row r="336" spans="1:16">
      <c r="A336">
        <v>2022</v>
      </c>
      <c r="B336" t="s">
        <v>14</v>
      </c>
      <c r="C336" t="s">
        <v>10</v>
      </c>
      <c r="D336" t="s">
        <v>42</v>
      </c>
      <c r="E336">
        <v>1878</v>
      </c>
      <c r="F336">
        <v>2877</v>
      </c>
      <c r="G336">
        <v>4324</v>
      </c>
      <c r="H336">
        <v>1474</v>
      </c>
      <c r="I336" t="s">
        <v>12</v>
      </c>
      <c r="J336" s="21">
        <f ca="1">DATE(Table2[[#This Row],[Year]],MONTH(1 &amp; Table2[[#This Row],[Month]]),RANDBETWEEN(1,30))</f>
        <v>44679</v>
      </c>
      <c r="L336" s="2">
        <v>2025</v>
      </c>
      <c r="M336" s="2" t="s">
        <v>61</v>
      </c>
      <c r="N336" s="2">
        <v>154920</v>
      </c>
      <c r="O336" s="2">
        <v>281677</v>
      </c>
      <c r="P336" s="2" t="s">
        <v>53</v>
      </c>
    </row>
    <row r="337" spans="1:16">
      <c r="A337">
        <v>2022</v>
      </c>
      <c r="B337" t="s">
        <v>14</v>
      </c>
      <c r="C337" t="s">
        <v>29</v>
      </c>
      <c r="D337" t="s">
        <v>11</v>
      </c>
      <c r="E337">
        <v>3571</v>
      </c>
      <c r="F337">
        <v>8911</v>
      </c>
      <c r="G337">
        <v>6425</v>
      </c>
      <c r="H337">
        <v>2383</v>
      </c>
      <c r="I337" t="s">
        <v>12</v>
      </c>
      <c r="J337" s="21">
        <f ca="1">DATE(Table2[[#This Row],[Year]],MONTH(1 &amp; Table2[[#This Row],[Month]]),RANDBETWEEN(1,30))</f>
        <v>44665</v>
      </c>
      <c r="L337" s="2">
        <v>2025</v>
      </c>
      <c r="M337" s="2" t="s">
        <v>54</v>
      </c>
      <c r="N337" s="2">
        <v>480955</v>
      </c>
      <c r="O337" s="2">
        <v>252157</v>
      </c>
      <c r="P337" s="2" t="s">
        <v>59</v>
      </c>
    </row>
    <row r="338" spans="1:16">
      <c r="A338">
        <v>2022</v>
      </c>
      <c r="B338" t="s">
        <v>33</v>
      </c>
      <c r="C338" t="s">
        <v>23</v>
      </c>
      <c r="D338" t="s">
        <v>11</v>
      </c>
      <c r="E338">
        <v>156</v>
      </c>
      <c r="F338">
        <v>1561</v>
      </c>
      <c r="G338">
        <v>11641</v>
      </c>
      <c r="H338">
        <v>612</v>
      </c>
      <c r="I338" t="s">
        <v>12</v>
      </c>
      <c r="J338" s="21">
        <f ca="1">DATE(Table2[[#This Row],[Year]],MONTH(1 &amp; Table2[[#This Row],[Month]]),RANDBETWEEN(1,30))</f>
        <v>44705</v>
      </c>
      <c r="L338" s="2">
        <v>2021</v>
      </c>
      <c r="M338" s="2" t="s">
        <v>51</v>
      </c>
      <c r="N338" s="2">
        <v>231529</v>
      </c>
      <c r="O338" s="2">
        <v>272758</v>
      </c>
      <c r="P338" s="2" t="s">
        <v>53</v>
      </c>
    </row>
    <row r="339" spans="1:16">
      <c r="A339">
        <v>2022</v>
      </c>
      <c r="B339" t="s">
        <v>33</v>
      </c>
      <c r="C339" t="s">
        <v>25</v>
      </c>
      <c r="D339" t="s">
        <v>39</v>
      </c>
      <c r="E339">
        <v>2752</v>
      </c>
      <c r="F339">
        <v>6576</v>
      </c>
      <c r="G339">
        <v>9070</v>
      </c>
      <c r="H339">
        <v>2573</v>
      </c>
      <c r="I339" t="s">
        <v>12</v>
      </c>
      <c r="J339" s="21">
        <f ca="1">DATE(Table2[[#This Row],[Year]],MONTH(1 &amp; Table2[[#This Row],[Month]]),RANDBETWEEN(1,30))</f>
        <v>44690</v>
      </c>
      <c r="L339" s="2">
        <v>2021</v>
      </c>
      <c r="M339" s="2" t="s">
        <v>55</v>
      </c>
      <c r="N339" s="2">
        <v>364925</v>
      </c>
      <c r="O339" s="2">
        <v>638564</v>
      </c>
      <c r="P339" s="2" t="s">
        <v>49</v>
      </c>
    </row>
    <row r="340" spans="1:16">
      <c r="A340">
        <v>2022</v>
      </c>
      <c r="B340" t="s">
        <v>33</v>
      </c>
      <c r="C340" t="s">
        <v>10</v>
      </c>
      <c r="D340" t="s">
        <v>23</v>
      </c>
      <c r="E340">
        <v>865</v>
      </c>
      <c r="F340">
        <v>6339</v>
      </c>
      <c r="G340">
        <v>8168</v>
      </c>
      <c r="H340">
        <v>2968</v>
      </c>
      <c r="I340" t="s">
        <v>18</v>
      </c>
      <c r="J340" s="21">
        <f ca="1">DATE(Table2[[#This Row],[Year]],MONTH(1 &amp; Table2[[#This Row],[Month]]),RANDBETWEEN(1,30))</f>
        <v>44688</v>
      </c>
      <c r="L340" s="2">
        <v>2022</v>
      </c>
      <c r="M340" s="2" t="s">
        <v>58</v>
      </c>
      <c r="N340" s="2">
        <v>400730</v>
      </c>
      <c r="O340" s="2">
        <v>464095</v>
      </c>
      <c r="P340" s="2" t="s">
        <v>50</v>
      </c>
    </row>
    <row r="341" spans="1:16">
      <c r="A341">
        <v>2022</v>
      </c>
      <c r="B341" t="s">
        <v>33</v>
      </c>
      <c r="C341" t="s">
        <v>21</v>
      </c>
      <c r="D341" t="s">
        <v>30</v>
      </c>
      <c r="E341">
        <v>1689</v>
      </c>
      <c r="F341">
        <v>8752</v>
      </c>
      <c r="G341">
        <v>4599</v>
      </c>
      <c r="H341">
        <v>2517</v>
      </c>
      <c r="I341" t="s">
        <v>28</v>
      </c>
      <c r="J341" s="21">
        <f ca="1">DATE(Table2[[#This Row],[Year]],MONTH(1 &amp; Table2[[#This Row],[Month]]),RANDBETWEEN(1,30))</f>
        <v>44703</v>
      </c>
      <c r="L341" s="2">
        <v>2023</v>
      </c>
      <c r="M341" s="2" t="s">
        <v>56</v>
      </c>
      <c r="N341" s="2">
        <v>424778</v>
      </c>
      <c r="O341" s="2">
        <v>433630</v>
      </c>
      <c r="P341" s="2" t="s">
        <v>59</v>
      </c>
    </row>
    <row r="342" spans="1:16">
      <c r="A342">
        <v>2022</v>
      </c>
      <c r="B342" t="s">
        <v>33</v>
      </c>
      <c r="C342" t="s">
        <v>29</v>
      </c>
      <c r="D342" t="s">
        <v>34</v>
      </c>
      <c r="E342">
        <v>619</v>
      </c>
      <c r="F342">
        <v>7037</v>
      </c>
      <c r="G342">
        <v>5990</v>
      </c>
      <c r="H342">
        <v>2307</v>
      </c>
      <c r="I342" t="s">
        <v>28</v>
      </c>
      <c r="J342" s="21">
        <f ca="1">DATE(Table2[[#This Row],[Year]],MONTH(1 &amp; Table2[[#This Row],[Month]]),RANDBETWEEN(1,30))</f>
        <v>44702</v>
      </c>
      <c r="L342" s="2">
        <v>2023</v>
      </c>
      <c r="M342" s="2" t="s">
        <v>56</v>
      </c>
      <c r="N342" s="2">
        <v>478300</v>
      </c>
      <c r="O342" s="2">
        <v>253356</v>
      </c>
      <c r="P342" s="2" t="s">
        <v>59</v>
      </c>
    </row>
    <row r="343" spans="1:16">
      <c r="A343">
        <v>2022</v>
      </c>
      <c r="B343" t="s">
        <v>33</v>
      </c>
      <c r="C343" t="s">
        <v>21</v>
      </c>
      <c r="D343" t="s">
        <v>42</v>
      </c>
      <c r="E343">
        <v>2748</v>
      </c>
      <c r="F343">
        <v>7177</v>
      </c>
      <c r="G343">
        <v>9066</v>
      </c>
      <c r="H343">
        <v>2927</v>
      </c>
      <c r="I343" t="s">
        <v>28</v>
      </c>
      <c r="J343" s="21">
        <f ca="1">DATE(Table2[[#This Row],[Year]],MONTH(1 &amp; Table2[[#This Row],[Month]]),RANDBETWEEN(1,30))</f>
        <v>44688</v>
      </c>
      <c r="L343" s="2">
        <v>2020</v>
      </c>
      <c r="M343" s="2" t="s">
        <v>56</v>
      </c>
      <c r="N343" s="2">
        <v>225168</v>
      </c>
      <c r="O343" s="2">
        <v>524778</v>
      </c>
      <c r="P343" s="2" t="s">
        <v>59</v>
      </c>
    </row>
    <row r="344" spans="1:16">
      <c r="A344">
        <v>2022</v>
      </c>
      <c r="B344" t="s">
        <v>33</v>
      </c>
      <c r="C344" t="s">
        <v>10</v>
      </c>
      <c r="D344" t="s">
        <v>22</v>
      </c>
      <c r="E344">
        <v>3678</v>
      </c>
      <c r="F344">
        <v>4454</v>
      </c>
      <c r="G344">
        <v>7816</v>
      </c>
      <c r="H344">
        <v>1006</v>
      </c>
      <c r="I344" t="s">
        <v>18</v>
      </c>
      <c r="J344" s="21">
        <f ca="1">DATE(Table2[[#This Row],[Year]],MONTH(1 &amp; Table2[[#This Row],[Month]]),RANDBETWEEN(1,30))</f>
        <v>44704</v>
      </c>
      <c r="L344" s="2">
        <v>2024</v>
      </c>
      <c r="M344" s="2" t="s">
        <v>56</v>
      </c>
      <c r="N344" s="2">
        <v>443403</v>
      </c>
      <c r="O344" s="2">
        <v>634000</v>
      </c>
      <c r="P344" s="2" t="s">
        <v>53</v>
      </c>
    </row>
    <row r="345" spans="1:16">
      <c r="A345">
        <v>2022</v>
      </c>
      <c r="B345" t="s">
        <v>33</v>
      </c>
      <c r="C345" t="s">
        <v>10</v>
      </c>
      <c r="D345" t="s">
        <v>42</v>
      </c>
      <c r="E345">
        <v>312</v>
      </c>
      <c r="F345">
        <v>2972</v>
      </c>
      <c r="G345">
        <v>11411</v>
      </c>
      <c r="H345">
        <v>238</v>
      </c>
      <c r="I345" t="s">
        <v>18</v>
      </c>
      <c r="J345" s="21">
        <f ca="1">DATE(Table2[[#This Row],[Year]],MONTH(1 &amp; Table2[[#This Row],[Month]]),RANDBETWEEN(1,30))</f>
        <v>44700</v>
      </c>
      <c r="L345" s="2">
        <v>2023</v>
      </c>
      <c r="M345" s="2" t="s">
        <v>61</v>
      </c>
      <c r="N345" s="2">
        <v>152675</v>
      </c>
      <c r="O345" s="2">
        <v>614093</v>
      </c>
      <c r="P345" s="2" t="s">
        <v>49</v>
      </c>
    </row>
    <row r="346" spans="1:16">
      <c r="A346">
        <v>2022</v>
      </c>
      <c r="B346" t="s">
        <v>33</v>
      </c>
      <c r="C346" t="s">
        <v>25</v>
      </c>
      <c r="D346" t="s">
        <v>20</v>
      </c>
      <c r="E346">
        <v>360</v>
      </c>
      <c r="F346">
        <v>6859</v>
      </c>
      <c r="G346">
        <v>4741</v>
      </c>
      <c r="H346">
        <v>1329</v>
      </c>
      <c r="I346" t="s">
        <v>12</v>
      </c>
      <c r="J346" s="21">
        <f ca="1">DATE(Table2[[#This Row],[Year]],MONTH(1 &amp; Table2[[#This Row],[Month]]),RANDBETWEEN(1,30))</f>
        <v>44707</v>
      </c>
      <c r="L346" s="2">
        <v>2025</v>
      </c>
      <c r="M346" s="2" t="s">
        <v>55</v>
      </c>
      <c r="N346" s="2">
        <v>382016</v>
      </c>
      <c r="O346" s="2">
        <v>513027</v>
      </c>
      <c r="P346" s="2" t="s">
        <v>50</v>
      </c>
    </row>
    <row r="347" spans="1:16">
      <c r="A347">
        <v>2022</v>
      </c>
      <c r="B347" t="s">
        <v>33</v>
      </c>
      <c r="C347" t="s">
        <v>23</v>
      </c>
      <c r="D347" t="s">
        <v>22</v>
      </c>
      <c r="E347">
        <v>2505</v>
      </c>
      <c r="F347">
        <v>8425</v>
      </c>
      <c r="G347">
        <v>2449</v>
      </c>
      <c r="H347">
        <v>2303</v>
      </c>
      <c r="I347" t="s">
        <v>12</v>
      </c>
      <c r="J347" s="21">
        <f ca="1">DATE(Table2[[#This Row],[Year]],MONTH(1 &amp; Table2[[#This Row],[Month]]),RANDBETWEEN(1,30))</f>
        <v>44689</v>
      </c>
      <c r="L347" s="2">
        <v>2020</v>
      </c>
      <c r="M347" s="2" t="s">
        <v>54</v>
      </c>
      <c r="N347" s="2">
        <v>396791</v>
      </c>
      <c r="O347" s="2">
        <v>237639</v>
      </c>
      <c r="P347" s="2" t="s">
        <v>53</v>
      </c>
    </row>
    <row r="348" spans="1:16">
      <c r="A348">
        <v>2022</v>
      </c>
      <c r="B348" t="s">
        <v>33</v>
      </c>
      <c r="C348" t="s">
        <v>29</v>
      </c>
      <c r="D348" t="s">
        <v>43</v>
      </c>
      <c r="E348">
        <v>1123</v>
      </c>
      <c r="F348">
        <v>7200</v>
      </c>
      <c r="G348">
        <v>2500</v>
      </c>
      <c r="H348">
        <v>2302</v>
      </c>
      <c r="I348" t="s">
        <v>12</v>
      </c>
      <c r="J348" s="21">
        <f ca="1">DATE(Table2[[#This Row],[Year]],MONTH(1 &amp; Table2[[#This Row],[Month]]),RANDBETWEEN(1,30))</f>
        <v>44694</v>
      </c>
      <c r="L348" s="2">
        <v>2022</v>
      </c>
      <c r="M348" s="2" t="s">
        <v>61</v>
      </c>
      <c r="N348" s="2">
        <v>371089</v>
      </c>
      <c r="O348" s="2">
        <v>256199</v>
      </c>
      <c r="P348" s="2" t="s">
        <v>53</v>
      </c>
    </row>
    <row r="349" spans="1:16">
      <c r="A349">
        <v>2022</v>
      </c>
      <c r="B349" t="s">
        <v>27</v>
      </c>
      <c r="C349" t="s">
        <v>15</v>
      </c>
      <c r="D349" t="s">
        <v>23</v>
      </c>
      <c r="E349">
        <v>1965</v>
      </c>
      <c r="F349">
        <v>2033</v>
      </c>
      <c r="G349">
        <v>9144</v>
      </c>
      <c r="H349">
        <v>1342</v>
      </c>
      <c r="I349" t="s">
        <v>18</v>
      </c>
      <c r="J349" s="21">
        <f ca="1">DATE(Table2[[#This Row],[Year]],MONTH(1 &amp; Table2[[#This Row],[Month]]),RANDBETWEEN(1,30))</f>
        <v>44724</v>
      </c>
      <c r="L349" s="2">
        <v>2020</v>
      </c>
      <c r="M349" s="2" t="s">
        <v>54</v>
      </c>
      <c r="N349" s="2">
        <v>200926</v>
      </c>
      <c r="O349" s="2">
        <v>224654</v>
      </c>
      <c r="P349" s="2" t="s">
        <v>50</v>
      </c>
    </row>
    <row r="350" spans="1:16">
      <c r="A350">
        <v>2022</v>
      </c>
      <c r="B350" t="s">
        <v>27</v>
      </c>
      <c r="C350" t="s">
        <v>15</v>
      </c>
      <c r="D350" t="s">
        <v>39</v>
      </c>
      <c r="E350">
        <v>1004</v>
      </c>
      <c r="F350">
        <v>6245</v>
      </c>
      <c r="G350">
        <v>7844</v>
      </c>
      <c r="H350">
        <v>1510</v>
      </c>
      <c r="I350" t="s">
        <v>28</v>
      </c>
      <c r="J350" s="21">
        <f ca="1">DATE(Table2[[#This Row],[Year]],MONTH(1 &amp; Table2[[#This Row],[Month]]),RANDBETWEEN(1,30))</f>
        <v>44713</v>
      </c>
      <c r="L350" s="2">
        <v>2022</v>
      </c>
      <c r="M350" s="2" t="s">
        <v>54</v>
      </c>
      <c r="N350" s="2">
        <v>449217</v>
      </c>
      <c r="O350" s="2">
        <v>328740</v>
      </c>
      <c r="P350" s="2" t="s">
        <v>49</v>
      </c>
    </row>
    <row r="351" spans="1:16">
      <c r="A351">
        <v>2022</v>
      </c>
      <c r="B351" t="s">
        <v>27</v>
      </c>
      <c r="C351" t="s">
        <v>23</v>
      </c>
      <c r="D351" t="s">
        <v>30</v>
      </c>
      <c r="E351">
        <v>1458</v>
      </c>
      <c r="F351">
        <v>7447</v>
      </c>
      <c r="G351">
        <v>8775</v>
      </c>
      <c r="H351">
        <v>844</v>
      </c>
      <c r="I351" t="s">
        <v>12</v>
      </c>
      <c r="J351" s="21">
        <f ca="1">DATE(Table2[[#This Row],[Year]],MONTH(1 &amp; Table2[[#This Row],[Month]]),RANDBETWEEN(1,30))</f>
        <v>44722</v>
      </c>
      <c r="L351" s="2">
        <v>2022</v>
      </c>
      <c r="M351" s="2" t="s">
        <v>54</v>
      </c>
      <c r="N351" s="2">
        <v>167543</v>
      </c>
      <c r="O351" s="2">
        <v>267831</v>
      </c>
      <c r="P351" s="2" t="s">
        <v>59</v>
      </c>
    </row>
    <row r="352" spans="1:16">
      <c r="A352">
        <v>2022</v>
      </c>
      <c r="B352" t="s">
        <v>27</v>
      </c>
      <c r="C352" t="s">
        <v>29</v>
      </c>
      <c r="D352" t="s">
        <v>34</v>
      </c>
      <c r="E352">
        <v>3467</v>
      </c>
      <c r="F352">
        <v>1627</v>
      </c>
      <c r="G352">
        <v>8100</v>
      </c>
      <c r="H352">
        <v>1724</v>
      </c>
      <c r="I352" t="s">
        <v>28</v>
      </c>
      <c r="J352" s="21">
        <f ca="1">DATE(Table2[[#This Row],[Year]],MONTH(1 &amp; Table2[[#This Row],[Month]]),RANDBETWEEN(1,30))</f>
        <v>44722</v>
      </c>
      <c r="L352" s="2">
        <v>2022</v>
      </c>
      <c r="M352" s="2" t="s">
        <v>57</v>
      </c>
      <c r="N352" s="2">
        <v>121454</v>
      </c>
      <c r="O352" s="2">
        <v>330024</v>
      </c>
      <c r="P352" s="2" t="s">
        <v>59</v>
      </c>
    </row>
    <row r="353" spans="1:16">
      <c r="A353">
        <v>2022</v>
      </c>
      <c r="B353" t="s">
        <v>27</v>
      </c>
      <c r="C353" t="s">
        <v>23</v>
      </c>
      <c r="D353" t="s">
        <v>16</v>
      </c>
      <c r="E353">
        <v>2666</v>
      </c>
      <c r="F353">
        <v>8306</v>
      </c>
      <c r="G353">
        <v>11427</v>
      </c>
      <c r="H353">
        <v>463</v>
      </c>
      <c r="I353" t="s">
        <v>28</v>
      </c>
      <c r="J353" s="21">
        <f ca="1">DATE(Table2[[#This Row],[Year]],MONTH(1 &amp; Table2[[#This Row],[Month]]),RANDBETWEEN(1,30))</f>
        <v>44721</v>
      </c>
      <c r="L353" s="2">
        <v>2022</v>
      </c>
      <c r="M353" s="2" t="s">
        <v>51</v>
      </c>
      <c r="N353" s="2">
        <v>386986</v>
      </c>
      <c r="O353" s="2">
        <v>392529</v>
      </c>
      <c r="P353" s="2" t="s">
        <v>59</v>
      </c>
    </row>
    <row r="354" spans="1:16">
      <c r="A354">
        <v>2022</v>
      </c>
      <c r="B354" t="s">
        <v>27</v>
      </c>
      <c r="C354" t="s">
        <v>15</v>
      </c>
      <c r="D354" t="s">
        <v>16</v>
      </c>
      <c r="E354">
        <v>1655</v>
      </c>
      <c r="F354">
        <v>3103</v>
      </c>
      <c r="G354">
        <v>10470</v>
      </c>
      <c r="H354">
        <v>876</v>
      </c>
      <c r="I354" t="s">
        <v>28</v>
      </c>
      <c r="J354" s="21">
        <f ca="1">DATE(Table2[[#This Row],[Year]],MONTH(1 &amp; Table2[[#This Row],[Month]]),RANDBETWEEN(1,30))</f>
        <v>44725</v>
      </c>
      <c r="L354" s="2">
        <v>2025</v>
      </c>
      <c r="M354" s="2" t="s">
        <v>58</v>
      </c>
      <c r="N354" s="2">
        <v>290190</v>
      </c>
      <c r="O354" s="2">
        <v>671491</v>
      </c>
      <c r="P354" s="2" t="s">
        <v>49</v>
      </c>
    </row>
    <row r="355" spans="1:16">
      <c r="A355">
        <v>2022</v>
      </c>
      <c r="B355" t="s">
        <v>27</v>
      </c>
      <c r="C355" t="s">
        <v>15</v>
      </c>
      <c r="D355" t="s">
        <v>20</v>
      </c>
      <c r="E355">
        <v>2757</v>
      </c>
      <c r="F355">
        <v>4315</v>
      </c>
      <c r="G355">
        <v>3627</v>
      </c>
      <c r="H355">
        <v>1944</v>
      </c>
      <c r="I355" t="s">
        <v>28</v>
      </c>
      <c r="J355" s="21">
        <f ca="1">DATE(Table2[[#This Row],[Year]],MONTH(1 &amp; Table2[[#This Row],[Month]]),RANDBETWEEN(1,30))</f>
        <v>44723</v>
      </c>
      <c r="L355" s="2">
        <v>2023</v>
      </c>
      <c r="M355" s="2" t="s">
        <v>52</v>
      </c>
      <c r="N355" s="2">
        <v>439639</v>
      </c>
      <c r="O355" s="2">
        <v>505188</v>
      </c>
      <c r="P355" s="2" t="s">
        <v>53</v>
      </c>
    </row>
    <row r="356" spans="1:16">
      <c r="A356">
        <v>2022</v>
      </c>
      <c r="B356" t="s">
        <v>27</v>
      </c>
      <c r="C356" t="s">
        <v>10</v>
      </c>
      <c r="D356" t="s">
        <v>22</v>
      </c>
      <c r="E356">
        <v>2527</v>
      </c>
      <c r="F356">
        <v>4050</v>
      </c>
      <c r="G356">
        <v>5927</v>
      </c>
      <c r="H356">
        <v>278</v>
      </c>
      <c r="I356" t="s">
        <v>28</v>
      </c>
      <c r="J356" s="21">
        <f ca="1">DATE(Table2[[#This Row],[Year]],MONTH(1 &amp; Table2[[#This Row],[Month]]),RANDBETWEEN(1,30))</f>
        <v>44716</v>
      </c>
      <c r="L356" s="2">
        <v>2021</v>
      </c>
      <c r="M356" s="2" t="s">
        <v>51</v>
      </c>
      <c r="N356" s="2">
        <v>253359</v>
      </c>
      <c r="O356" s="2">
        <v>617487</v>
      </c>
      <c r="P356" s="2" t="s">
        <v>59</v>
      </c>
    </row>
    <row r="357" spans="1:16">
      <c r="A357">
        <v>2022</v>
      </c>
      <c r="B357" t="s">
        <v>27</v>
      </c>
      <c r="C357" t="s">
        <v>15</v>
      </c>
      <c r="D357" t="s">
        <v>22</v>
      </c>
      <c r="E357">
        <v>2611</v>
      </c>
      <c r="F357">
        <v>7805</v>
      </c>
      <c r="G357">
        <v>8768</v>
      </c>
      <c r="H357">
        <v>1827</v>
      </c>
      <c r="I357" t="s">
        <v>18</v>
      </c>
      <c r="J357" s="21">
        <f ca="1">DATE(Table2[[#This Row],[Year]],MONTH(1 &amp; Table2[[#This Row],[Month]]),RANDBETWEEN(1,30))</f>
        <v>44719</v>
      </c>
      <c r="L357" s="2">
        <v>2022</v>
      </c>
      <c r="M357" s="2" t="s">
        <v>51</v>
      </c>
      <c r="N357" s="2">
        <v>167311</v>
      </c>
      <c r="O357" s="2">
        <v>555176</v>
      </c>
      <c r="P357" s="2" t="s">
        <v>53</v>
      </c>
    </row>
    <row r="358" spans="1:16">
      <c r="A358">
        <v>2022</v>
      </c>
      <c r="B358" t="s">
        <v>27</v>
      </c>
      <c r="C358" t="s">
        <v>23</v>
      </c>
      <c r="D358" t="s">
        <v>35</v>
      </c>
      <c r="E358">
        <v>2208</v>
      </c>
      <c r="F358">
        <v>8976</v>
      </c>
      <c r="G358">
        <v>6989</v>
      </c>
      <c r="H358">
        <v>1152</v>
      </c>
      <c r="I358" t="s">
        <v>18</v>
      </c>
      <c r="J358" s="21">
        <f ca="1">DATE(Table2[[#This Row],[Year]],MONTH(1 &amp; Table2[[#This Row],[Month]]),RANDBETWEEN(1,30))</f>
        <v>44723</v>
      </c>
      <c r="L358" s="2">
        <v>2020</v>
      </c>
      <c r="M358" s="2" t="s">
        <v>57</v>
      </c>
      <c r="N358" s="2">
        <v>434577</v>
      </c>
      <c r="O358" s="2">
        <v>256252</v>
      </c>
      <c r="P358" s="2" t="s">
        <v>59</v>
      </c>
    </row>
    <row r="359" spans="1:16">
      <c r="A359">
        <v>2022</v>
      </c>
      <c r="B359" t="s">
        <v>27</v>
      </c>
      <c r="C359" t="s">
        <v>15</v>
      </c>
      <c r="D359" t="s">
        <v>23</v>
      </c>
      <c r="E359">
        <v>479</v>
      </c>
      <c r="F359">
        <v>6795</v>
      </c>
      <c r="G359">
        <v>5980</v>
      </c>
      <c r="H359">
        <v>899</v>
      </c>
      <c r="I359" t="s">
        <v>12</v>
      </c>
      <c r="J359" s="21">
        <f ca="1">DATE(Table2[[#This Row],[Year]],MONTH(1 &amp; Table2[[#This Row],[Month]]),RANDBETWEEN(1,30))</f>
        <v>44718</v>
      </c>
      <c r="L359" s="2">
        <v>2021</v>
      </c>
      <c r="M359" s="2" t="s">
        <v>52</v>
      </c>
      <c r="N359" s="2">
        <v>319564</v>
      </c>
      <c r="O359" s="2">
        <v>567960</v>
      </c>
      <c r="P359" s="2" t="s">
        <v>53</v>
      </c>
    </row>
    <row r="360" spans="1:16">
      <c r="A360">
        <v>2022</v>
      </c>
      <c r="B360" t="s">
        <v>27</v>
      </c>
      <c r="C360" t="s">
        <v>29</v>
      </c>
      <c r="D360" t="s">
        <v>37</v>
      </c>
      <c r="E360">
        <v>3661</v>
      </c>
      <c r="F360">
        <v>4714</v>
      </c>
      <c r="G360">
        <v>5570</v>
      </c>
      <c r="H360">
        <v>931</v>
      </c>
      <c r="I360" t="s">
        <v>12</v>
      </c>
      <c r="J360" s="21">
        <f ca="1">DATE(Table2[[#This Row],[Year]],MONTH(1 &amp; Table2[[#This Row],[Month]]),RANDBETWEEN(1,30))</f>
        <v>44720</v>
      </c>
      <c r="L360" s="2">
        <v>2020</v>
      </c>
      <c r="M360" s="2" t="s">
        <v>61</v>
      </c>
      <c r="N360" s="2">
        <v>175678</v>
      </c>
      <c r="O360" s="2">
        <v>337549</v>
      </c>
      <c r="P360" s="2" t="s">
        <v>53</v>
      </c>
    </row>
    <row r="361" spans="1:16">
      <c r="A361">
        <v>2022</v>
      </c>
      <c r="B361" t="s">
        <v>27</v>
      </c>
      <c r="C361" t="s">
        <v>15</v>
      </c>
      <c r="D361" t="s">
        <v>37</v>
      </c>
      <c r="E361">
        <v>1520</v>
      </c>
      <c r="F361">
        <v>5909</v>
      </c>
      <c r="G361">
        <v>10071</v>
      </c>
      <c r="H361">
        <v>2534</v>
      </c>
      <c r="I361" t="s">
        <v>18</v>
      </c>
      <c r="J361" s="21">
        <f ca="1">DATE(Table2[[#This Row],[Year]],MONTH(1 &amp; Table2[[#This Row],[Month]]),RANDBETWEEN(1,30))</f>
        <v>44723</v>
      </c>
      <c r="L361" s="2">
        <v>2020</v>
      </c>
      <c r="M361" s="2" t="s">
        <v>55</v>
      </c>
      <c r="N361" s="2">
        <v>388154</v>
      </c>
      <c r="O361" s="2">
        <v>519554</v>
      </c>
      <c r="P361" s="2" t="s">
        <v>49</v>
      </c>
    </row>
    <row r="362" spans="1:16">
      <c r="A362">
        <v>2022</v>
      </c>
      <c r="B362" t="s">
        <v>40</v>
      </c>
      <c r="C362" t="s">
        <v>25</v>
      </c>
      <c r="D362" t="s">
        <v>17</v>
      </c>
      <c r="E362">
        <v>1649</v>
      </c>
      <c r="F362">
        <v>9185</v>
      </c>
      <c r="G362">
        <v>4646</v>
      </c>
      <c r="H362">
        <v>624</v>
      </c>
      <c r="I362" t="s">
        <v>18</v>
      </c>
      <c r="J362" s="21">
        <f ca="1">DATE(Table2[[#This Row],[Year]],MONTH(1 &amp; Table2[[#This Row],[Month]]),RANDBETWEEN(1,30))</f>
        <v>44757</v>
      </c>
      <c r="L362" s="2">
        <v>2020</v>
      </c>
      <c r="M362" s="2" t="s">
        <v>58</v>
      </c>
      <c r="N362" s="2">
        <v>304445</v>
      </c>
      <c r="O362" s="2">
        <v>370481</v>
      </c>
      <c r="P362" s="2" t="s">
        <v>53</v>
      </c>
    </row>
    <row r="363" spans="1:16">
      <c r="A363">
        <v>2022</v>
      </c>
      <c r="B363" t="s">
        <v>40</v>
      </c>
      <c r="C363" t="s">
        <v>15</v>
      </c>
      <c r="D363" t="s">
        <v>42</v>
      </c>
      <c r="E363">
        <v>1019</v>
      </c>
      <c r="F363">
        <v>5984</v>
      </c>
      <c r="G363">
        <v>7226</v>
      </c>
      <c r="H363">
        <v>1601</v>
      </c>
      <c r="I363" t="s">
        <v>12</v>
      </c>
      <c r="J363" s="21">
        <f ca="1">DATE(Table2[[#This Row],[Year]],MONTH(1 &amp; Table2[[#This Row],[Month]]),RANDBETWEEN(1,30))</f>
        <v>44746</v>
      </c>
      <c r="L363" s="2">
        <v>2025</v>
      </c>
      <c r="M363" s="2" t="s">
        <v>61</v>
      </c>
      <c r="N363" s="2">
        <v>341725</v>
      </c>
      <c r="O363" s="2">
        <v>698836</v>
      </c>
      <c r="P363" s="2" t="s">
        <v>53</v>
      </c>
    </row>
    <row r="364" spans="1:16">
      <c r="A364">
        <v>2022</v>
      </c>
      <c r="B364" t="s">
        <v>40</v>
      </c>
      <c r="C364" t="s">
        <v>21</v>
      </c>
      <c r="D364" t="s">
        <v>30</v>
      </c>
      <c r="E364">
        <v>1502</v>
      </c>
      <c r="F364">
        <v>2574</v>
      </c>
      <c r="G364">
        <v>5129</v>
      </c>
      <c r="H364">
        <v>971</v>
      </c>
      <c r="I364" t="s">
        <v>28</v>
      </c>
      <c r="J364" s="21">
        <f ca="1">DATE(Table2[[#This Row],[Year]],MONTH(1 &amp; Table2[[#This Row],[Month]]),RANDBETWEEN(1,30))</f>
        <v>44772</v>
      </c>
      <c r="L364" s="2">
        <v>2025</v>
      </c>
      <c r="M364" s="2" t="s">
        <v>55</v>
      </c>
      <c r="N364" s="2">
        <v>284359</v>
      </c>
      <c r="O364" s="2">
        <v>331776</v>
      </c>
      <c r="P364" s="2" t="s">
        <v>49</v>
      </c>
    </row>
    <row r="365" spans="1:16">
      <c r="A365">
        <v>2022</v>
      </c>
      <c r="B365" t="s">
        <v>40</v>
      </c>
      <c r="C365" t="s">
        <v>15</v>
      </c>
      <c r="D365" t="s">
        <v>30</v>
      </c>
      <c r="E365">
        <v>830</v>
      </c>
      <c r="F365">
        <v>2834</v>
      </c>
      <c r="G365">
        <v>7527</v>
      </c>
      <c r="H365">
        <v>2097</v>
      </c>
      <c r="I365" t="s">
        <v>12</v>
      </c>
      <c r="J365" s="21">
        <f ca="1">DATE(Table2[[#This Row],[Year]],MONTH(1 &amp; Table2[[#This Row],[Month]]),RANDBETWEEN(1,30))</f>
        <v>44757</v>
      </c>
      <c r="L365" s="2">
        <v>2022</v>
      </c>
      <c r="M365" s="2" t="s">
        <v>52</v>
      </c>
      <c r="N365" s="2">
        <v>431484</v>
      </c>
      <c r="O365" s="2">
        <v>339565</v>
      </c>
      <c r="P365" s="2" t="s">
        <v>59</v>
      </c>
    </row>
    <row r="366" spans="1:16">
      <c r="A366">
        <v>2022</v>
      </c>
      <c r="B366" t="s">
        <v>40</v>
      </c>
      <c r="C366" t="s">
        <v>15</v>
      </c>
      <c r="D366" t="s">
        <v>39</v>
      </c>
      <c r="E366">
        <v>310</v>
      </c>
      <c r="F366">
        <v>9197</v>
      </c>
      <c r="G366">
        <v>8133</v>
      </c>
      <c r="H366">
        <v>359</v>
      </c>
      <c r="I366" t="s">
        <v>18</v>
      </c>
      <c r="J366" s="21">
        <f ca="1">DATE(Table2[[#This Row],[Year]],MONTH(1 &amp; Table2[[#This Row],[Month]]),RANDBETWEEN(1,30))</f>
        <v>44766</v>
      </c>
      <c r="L366" s="2">
        <v>2021</v>
      </c>
      <c r="M366" s="2" t="s">
        <v>61</v>
      </c>
      <c r="N366" s="2">
        <v>431825</v>
      </c>
      <c r="O366" s="2">
        <v>665336</v>
      </c>
      <c r="P366" s="2" t="s">
        <v>53</v>
      </c>
    </row>
    <row r="367" spans="1:16">
      <c r="A367">
        <v>2022</v>
      </c>
      <c r="B367" t="s">
        <v>40</v>
      </c>
      <c r="C367" t="s">
        <v>25</v>
      </c>
      <c r="D367" t="s">
        <v>38</v>
      </c>
      <c r="E367">
        <v>3736</v>
      </c>
      <c r="F367">
        <v>2030</v>
      </c>
      <c r="G367">
        <v>5910</v>
      </c>
      <c r="H367">
        <v>1862</v>
      </c>
      <c r="I367" t="s">
        <v>28</v>
      </c>
      <c r="J367" s="21">
        <f ca="1">DATE(Table2[[#This Row],[Year]],MONTH(1 &amp; Table2[[#This Row],[Month]]),RANDBETWEEN(1,30))</f>
        <v>44764</v>
      </c>
      <c r="L367" s="2">
        <v>2022</v>
      </c>
      <c r="M367" s="2" t="s">
        <v>54</v>
      </c>
      <c r="N367" s="2">
        <v>383756</v>
      </c>
      <c r="O367" s="2">
        <v>212322</v>
      </c>
      <c r="P367" s="2" t="s">
        <v>59</v>
      </c>
    </row>
    <row r="368" spans="1:16">
      <c r="A368">
        <v>2022</v>
      </c>
      <c r="B368" t="s">
        <v>40</v>
      </c>
      <c r="C368" t="s">
        <v>29</v>
      </c>
      <c r="D368" t="s">
        <v>26</v>
      </c>
      <c r="E368">
        <v>2586</v>
      </c>
      <c r="F368">
        <v>9853</v>
      </c>
      <c r="G368">
        <v>10427</v>
      </c>
      <c r="H368">
        <v>399</v>
      </c>
      <c r="I368" t="s">
        <v>18</v>
      </c>
      <c r="J368" s="21">
        <f ca="1">DATE(Table2[[#This Row],[Year]],MONTH(1 &amp; Table2[[#This Row],[Month]]),RANDBETWEEN(1,30))</f>
        <v>44760</v>
      </c>
      <c r="L368" s="2">
        <v>2023</v>
      </c>
      <c r="M368" s="2" t="s">
        <v>52</v>
      </c>
      <c r="N368" s="2">
        <v>142161</v>
      </c>
      <c r="O368" s="2">
        <v>548344</v>
      </c>
      <c r="P368" s="2" t="s">
        <v>50</v>
      </c>
    </row>
    <row r="369" spans="1:16">
      <c r="A369">
        <v>2022</v>
      </c>
      <c r="B369" t="s">
        <v>40</v>
      </c>
      <c r="C369" t="s">
        <v>23</v>
      </c>
      <c r="D369" t="s">
        <v>11</v>
      </c>
      <c r="E369">
        <v>3336</v>
      </c>
      <c r="F369">
        <v>8402</v>
      </c>
      <c r="G369">
        <v>6493</v>
      </c>
      <c r="H369">
        <v>2780</v>
      </c>
      <c r="I369" t="s">
        <v>18</v>
      </c>
      <c r="J369" s="21">
        <f ca="1">DATE(Table2[[#This Row],[Year]],MONTH(1 &amp; Table2[[#This Row],[Month]]),RANDBETWEEN(1,30))</f>
        <v>44743</v>
      </c>
      <c r="L369" s="2">
        <v>2022</v>
      </c>
      <c r="M369" s="2" t="s">
        <v>61</v>
      </c>
      <c r="N369" s="2">
        <v>435542</v>
      </c>
      <c r="O369" s="2">
        <v>562663</v>
      </c>
      <c r="P369" s="2" t="s">
        <v>50</v>
      </c>
    </row>
    <row r="370" spans="1:16">
      <c r="A370">
        <v>2022</v>
      </c>
      <c r="B370" t="s">
        <v>40</v>
      </c>
      <c r="C370" t="s">
        <v>10</v>
      </c>
      <c r="D370" t="s">
        <v>17</v>
      </c>
      <c r="E370">
        <v>3204</v>
      </c>
      <c r="F370">
        <v>8139</v>
      </c>
      <c r="G370">
        <v>7717</v>
      </c>
      <c r="H370">
        <v>2564</v>
      </c>
      <c r="I370" t="s">
        <v>28</v>
      </c>
      <c r="J370" s="21">
        <f ca="1">DATE(Table2[[#This Row],[Year]],MONTH(1 &amp; Table2[[#This Row],[Month]]),RANDBETWEEN(1,30))</f>
        <v>44771</v>
      </c>
      <c r="L370" s="2">
        <v>2024</v>
      </c>
      <c r="M370" s="2" t="s">
        <v>57</v>
      </c>
      <c r="N370" s="2">
        <v>368405</v>
      </c>
      <c r="O370" s="2">
        <v>618189</v>
      </c>
      <c r="P370" s="2" t="s">
        <v>49</v>
      </c>
    </row>
    <row r="371" spans="1:16">
      <c r="A371">
        <v>2022</v>
      </c>
      <c r="B371" t="s">
        <v>40</v>
      </c>
      <c r="C371" t="s">
        <v>29</v>
      </c>
      <c r="D371" t="s">
        <v>39</v>
      </c>
      <c r="E371">
        <v>2021</v>
      </c>
      <c r="F371">
        <v>2234</v>
      </c>
      <c r="G371">
        <v>6577</v>
      </c>
      <c r="H371">
        <v>1778</v>
      </c>
      <c r="I371" t="s">
        <v>12</v>
      </c>
      <c r="J371" s="21">
        <f ca="1">DATE(Table2[[#This Row],[Year]],MONTH(1 &amp; Table2[[#This Row],[Month]]),RANDBETWEEN(1,30))</f>
        <v>44753</v>
      </c>
      <c r="L371" s="2">
        <v>2020</v>
      </c>
      <c r="M371" s="2" t="s">
        <v>61</v>
      </c>
      <c r="N371" s="2">
        <v>378810</v>
      </c>
      <c r="O371" s="2">
        <v>687220</v>
      </c>
      <c r="P371" s="2" t="s">
        <v>50</v>
      </c>
    </row>
    <row r="372" spans="1:16">
      <c r="A372">
        <v>2022</v>
      </c>
      <c r="B372" t="s">
        <v>40</v>
      </c>
      <c r="C372" t="s">
        <v>23</v>
      </c>
      <c r="D372" t="s">
        <v>11</v>
      </c>
      <c r="E372">
        <v>1007</v>
      </c>
      <c r="F372">
        <v>7021</v>
      </c>
      <c r="G372">
        <v>8946</v>
      </c>
      <c r="H372">
        <v>415</v>
      </c>
      <c r="I372" t="s">
        <v>28</v>
      </c>
      <c r="J372" s="21">
        <f ca="1">DATE(Table2[[#This Row],[Year]],MONTH(1 &amp; Table2[[#This Row],[Month]]),RANDBETWEEN(1,30))</f>
        <v>44770</v>
      </c>
      <c r="L372" s="2">
        <v>2023</v>
      </c>
      <c r="M372" s="2" t="s">
        <v>57</v>
      </c>
      <c r="N372" s="2">
        <v>245193</v>
      </c>
      <c r="O372" s="2">
        <v>687801</v>
      </c>
      <c r="P372" s="2" t="s">
        <v>53</v>
      </c>
    </row>
    <row r="373" spans="1:16">
      <c r="A373">
        <v>2022</v>
      </c>
      <c r="B373" t="s">
        <v>40</v>
      </c>
      <c r="C373" t="s">
        <v>10</v>
      </c>
      <c r="D373" t="s">
        <v>43</v>
      </c>
      <c r="E373">
        <v>2071</v>
      </c>
      <c r="F373">
        <v>4089</v>
      </c>
      <c r="G373">
        <v>8284</v>
      </c>
      <c r="H373">
        <v>1082</v>
      </c>
      <c r="I373" t="s">
        <v>18</v>
      </c>
      <c r="J373" s="21">
        <f ca="1">DATE(Table2[[#This Row],[Year]],MONTH(1 &amp; Table2[[#This Row],[Month]]),RANDBETWEEN(1,30))</f>
        <v>44772</v>
      </c>
      <c r="L373" s="2">
        <v>2021</v>
      </c>
      <c r="M373" s="2" t="s">
        <v>61</v>
      </c>
      <c r="N373" s="2">
        <v>451712</v>
      </c>
      <c r="O373" s="2">
        <v>232638</v>
      </c>
      <c r="P373" s="2" t="s">
        <v>59</v>
      </c>
    </row>
    <row r="374" spans="1:16">
      <c r="A374">
        <v>2022</v>
      </c>
      <c r="B374" t="s">
        <v>31</v>
      </c>
      <c r="C374" t="s">
        <v>15</v>
      </c>
      <c r="D374" t="s">
        <v>23</v>
      </c>
      <c r="E374">
        <v>2911</v>
      </c>
      <c r="F374">
        <v>4193</v>
      </c>
      <c r="G374">
        <v>8964</v>
      </c>
      <c r="H374">
        <v>2528</v>
      </c>
      <c r="I374" t="s">
        <v>28</v>
      </c>
      <c r="J374" s="21">
        <f ca="1">DATE(Table2[[#This Row],[Year]],MONTH(1 &amp; Table2[[#This Row],[Month]]),RANDBETWEEN(1,30))</f>
        <v>44780</v>
      </c>
      <c r="L374" s="2">
        <v>2022</v>
      </c>
      <c r="M374" s="2" t="s">
        <v>51</v>
      </c>
      <c r="N374" s="2">
        <v>390149</v>
      </c>
      <c r="O374" s="2">
        <v>610920</v>
      </c>
      <c r="P374" s="2" t="s">
        <v>49</v>
      </c>
    </row>
    <row r="375" spans="1:16">
      <c r="A375">
        <v>2022</v>
      </c>
      <c r="B375" t="s">
        <v>31</v>
      </c>
      <c r="C375" t="s">
        <v>29</v>
      </c>
      <c r="D375" t="s">
        <v>26</v>
      </c>
      <c r="E375">
        <v>1277</v>
      </c>
      <c r="F375">
        <v>2851</v>
      </c>
      <c r="G375">
        <v>10986</v>
      </c>
      <c r="H375">
        <v>2084</v>
      </c>
      <c r="I375" t="s">
        <v>28</v>
      </c>
      <c r="J375" s="21">
        <f ca="1">DATE(Table2[[#This Row],[Year]],MONTH(1 &amp; Table2[[#This Row],[Month]]),RANDBETWEEN(1,30))</f>
        <v>44799</v>
      </c>
      <c r="L375" s="2">
        <v>2023</v>
      </c>
      <c r="M375" s="2" t="s">
        <v>58</v>
      </c>
      <c r="N375" s="2">
        <v>145036</v>
      </c>
      <c r="O375" s="2">
        <v>523155</v>
      </c>
      <c r="P375" s="2" t="s">
        <v>49</v>
      </c>
    </row>
    <row r="376" spans="1:16">
      <c r="A376">
        <v>2022</v>
      </c>
      <c r="B376" t="s">
        <v>31</v>
      </c>
      <c r="C376" t="s">
        <v>21</v>
      </c>
      <c r="D376" t="s">
        <v>42</v>
      </c>
      <c r="E376">
        <v>860</v>
      </c>
      <c r="F376">
        <v>5880</v>
      </c>
      <c r="G376">
        <v>6328</v>
      </c>
      <c r="H376">
        <v>987</v>
      </c>
      <c r="I376" t="s">
        <v>18</v>
      </c>
      <c r="J376" s="21">
        <f ca="1">DATE(Table2[[#This Row],[Year]],MONTH(1 &amp; Table2[[#This Row],[Month]]),RANDBETWEEN(1,30))</f>
        <v>44781</v>
      </c>
      <c r="L376" s="2">
        <v>2022</v>
      </c>
      <c r="M376" s="2" t="s">
        <v>57</v>
      </c>
      <c r="N376" s="2">
        <v>263111</v>
      </c>
      <c r="O376" s="2">
        <v>523671</v>
      </c>
      <c r="P376" s="2" t="s">
        <v>59</v>
      </c>
    </row>
    <row r="377" spans="1:16">
      <c r="A377">
        <v>2022</v>
      </c>
      <c r="B377" t="s">
        <v>31</v>
      </c>
      <c r="C377" t="s">
        <v>10</v>
      </c>
      <c r="D377" t="s">
        <v>26</v>
      </c>
      <c r="E377">
        <v>3530</v>
      </c>
      <c r="F377">
        <v>1460</v>
      </c>
      <c r="G377">
        <v>4224</v>
      </c>
      <c r="H377">
        <v>203</v>
      </c>
      <c r="I377" t="s">
        <v>12</v>
      </c>
      <c r="J377" s="21">
        <f ca="1">DATE(Table2[[#This Row],[Year]],MONTH(1 &amp; Table2[[#This Row],[Month]]),RANDBETWEEN(1,30))</f>
        <v>44800</v>
      </c>
      <c r="L377" s="2">
        <v>2022</v>
      </c>
      <c r="M377" s="2" t="s">
        <v>61</v>
      </c>
      <c r="N377" s="2">
        <v>454552</v>
      </c>
      <c r="O377" s="2">
        <v>264175</v>
      </c>
      <c r="P377" s="2" t="s">
        <v>59</v>
      </c>
    </row>
    <row r="378" spans="1:16">
      <c r="A378">
        <v>2022</v>
      </c>
      <c r="B378" t="s">
        <v>31</v>
      </c>
      <c r="C378" t="s">
        <v>15</v>
      </c>
      <c r="D378" t="s">
        <v>38</v>
      </c>
      <c r="E378">
        <v>3835</v>
      </c>
      <c r="F378">
        <v>5329</v>
      </c>
      <c r="G378">
        <v>2954</v>
      </c>
      <c r="H378">
        <v>459</v>
      </c>
      <c r="I378" t="s">
        <v>12</v>
      </c>
      <c r="J378" s="21">
        <f ca="1">DATE(Table2[[#This Row],[Year]],MONTH(1 &amp; Table2[[#This Row],[Month]]),RANDBETWEEN(1,30))</f>
        <v>44793</v>
      </c>
      <c r="L378" s="2">
        <v>2022</v>
      </c>
      <c r="M378" s="2" t="s">
        <v>55</v>
      </c>
      <c r="N378" s="2">
        <v>118879</v>
      </c>
      <c r="O378" s="2">
        <v>525094</v>
      </c>
      <c r="P378" s="2" t="s">
        <v>49</v>
      </c>
    </row>
    <row r="379" spans="1:16">
      <c r="A379">
        <v>2022</v>
      </c>
      <c r="B379" t="s">
        <v>31</v>
      </c>
      <c r="C379" t="s">
        <v>10</v>
      </c>
      <c r="D379" t="s">
        <v>35</v>
      </c>
      <c r="E379">
        <v>566</v>
      </c>
      <c r="F379">
        <v>1099</v>
      </c>
      <c r="G379">
        <v>8441</v>
      </c>
      <c r="H379">
        <v>1159</v>
      </c>
      <c r="I379" t="s">
        <v>12</v>
      </c>
      <c r="J379" s="21">
        <f ca="1">DATE(Table2[[#This Row],[Year]],MONTH(1 &amp; Table2[[#This Row],[Month]]),RANDBETWEEN(1,30))</f>
        <v>44776</v>
      </c>
      <c r="L379" s="2">
        <v>2020</v>
      </c>
      <c r="M379" s="2" t="s">
        <v>48</v>
      </c>
      <c r="N379" s="2">
        <v>484567</v>
      </c>
      <c r="O379" s="2">
        <v>691241</v>
      </c>
      <c r="P379" s="2" t="s">
        <v>53</v>
      </c>
    </row>
    <row r="380" spans="1:16">
      <c r="A380">
        <v>2022</v>
      </c>
      <c r="B380" t="s">
        <v>31</v>
      </c>
      <c r="C380" t="s">
        <v>21</v>
      </c>
      <c r="D380" t="s">
        <v>37</v>
      </c>
      <c r="E380">
        <v>3908</v>
      </c>
      <c r="F380">
        <v>4017</v>
      </c>
      <c r="G380">
        <v>4053</v>
      </c>
      <c r="H380">
        <v>266</v>
      </c>
      <c r="I380" t="s">
        <v>12</v>
      </c>
      <c r="J380" s="21">
        <f ca="1">DATE(Table2[[#This Row],[Year]],MONTH(1 &amp; Table2[[#This Row],[Month]]),RANDBETWEEN(1,30))</f>
        <v>44796</v>
      </c>
      <c r="L380" s="2">
        <v>2020</v>
      </c>
      <c r="M380" s="2" t="s">
        <v>57</v>
      </c>
      <c r="N380" s="2">
        <v>371665</v>
      </c>
      <c r="O380" s="2">
        <v>655909</v>
      </c>
      <c r="P380" s="2" t="s">
        <v>59</v>
      </c>
    </row>
    <row r="381" spans="1:16">
      <c r="A381">
        <v>2022</v>
      </c>
      <c r="B381" t="s">
        <v>31</v>
      </c>
      <c r="C381" t="s">
        <v>23</v>
      </c>
      <c r="D381" t="s">
        <v>23</v>
      </c>
      <c r="E381">
        <v>1650</v>
      </c>
      <c r="F381">
        <v>3630</v>
      </c>
      <c r="G381">
        <v>7895</v>
      </c>
      <c r="H381">
        <v>2103</v>
      </c>
      <c r="I381" t="s">
        <v>18</v>
      </c>
      <c r="J381" s="21">
        <f ca="1">DATE(Table2[[#This Row],[Year]],MONTH(1 &amp; Table2[[#This Row],[Month]]),RANDBETWEEN(1,30))</f>
        <v>44788</v>
      </c>
      <c r="L381" s="2">
        <v>2025</v>
      </c>
      <c r="M381" s="2" t="s">
        <v>58</v>
      </c>
      <c r="N381" s="2">
        <v>352550</v>
      </c>
      <c r="O381" s="2">
        <v>419565</v>
      </c>
      <c r="P381" s="2" t="s">
        <v>59</v>
      </c>
    </row>
    <row r="382" spans="1:16">
      <c r="A382">
        <v>2022</v>
      </c>
      <c r="B382" t="s">
        <v>31</v>
      </c>
      <c r="C382" t="s">
        <v>23</v>
      </c>
      <c r="D382" t="s">
        <v>20</v>
      </c>
      <c r="E382">
        <v>1560</v>
      </c>
      <c r="F382">
        <v>1346</v>
      </c>
      <c r="G382">
        <v>4676</v>
      </c>
      <c r="H382">
        <v>1553</v>
      </c>
      <c r="I382" t="s">
        <v>18</v>
      </c>
      <c r="J382" s="21">
        <f ca="1">DATE(Table2[[#This Row],[Year]],MONTH(1 &amp; Table2[[#This Row],[Month]]),RANDBETWEEN(1,30))</f>
        <v>44776</v>
      </c>
      <c r="L382" s="2">
        <v>2020</v>
      </c>
      <c r="M382" s="2" t="s">
        <v>48</v>
      </c>
      <c r="N382" s="2">
        <v>208224</v>
      </c>
      <c r="O382" s="2">
        <v>219974</v>
      </c>
      <c r="P382" s="2" t="s">
        <v>49</v>
      </c>
    </row>
    <row r="383" spans="1:16">
      <c r="A383">
        <v>2022</v>
      </c>
      <c r="B383" t="s">
        <v>31</v>
      </c>
      <c r="C383" t="s">
        <v>15</v>
      </c>
      <c r="D383" t="s">
        <v>16</v>
      </c>
      <c r="E383">
        <v>3256</v>
      </c>
      <c r="F383">
        <v>7229</v>
      </c>
      <c r="G383">
        <v>5773</v>
      </c>
      <c r="H383">
        <v>669</v>
      </c>
      <c r="I383" t="s">
        <v>12</v>
      </c>
      <c r="J383" s="21">
        <f ca="1">DATE(Table2[[#This Row],[Year]],MONTH(1 &amp; Table2[[#This Row],[Month]]),RANDBETWEEN(1,30))</f>
        <v>44795</v>
      </c>
      <c r="L383" s="2">
        <v>2025</v>
      </c>
      <c r="M383" s="2" t="s">
        <v>52</v>
      </c>
      <c r="N383" s="2">
        <v>199517</v>
      </c>
      <c r="O383" s="2">
        <v>381147</v>
      </c>
      <c r="P383" s="2" t="s">
        <v>59</v>
      </c>
    </row>
    <row r="384" spans="1:16">
      <c r="A384">
        <v>2022</v>
      </c>
      <c r="B384" t="s">
        <v>31</v>
      </c>
      <c r="C384" t="s">
        <v>10</v>
      </c>
      <c r="D384" t="s">
        <v>30</v>
      </c>
      <c r="E384">
        <v>1045</v>
      </c>
      <c r="F384">
        <v>9783</v>
      </c>
      <c r="G384">
        <v>9676</v>
      </c>
      <c r="H384">
        <v>603</v>
      </c>
      <c r="I384" t="s">
        <v>12</v>
      </c>
      <c r="J384" s="21">
        <f ca="1">DATE(Table2[[#This Row],[Year]],MONTH(1 &amp; Table2[[#This Row],[Month]]),RANDBETWEEN(1,30))</f>
        <v>44802</v>
      </c>
      <c r="L384" s="2">
        <v>2024</v>
      </c>
      <c r="M384" s="2" t="s">
        <v>61</v>
      </c>
      <c r="N384" s="2">
        <v>476823</v>
      </c>
      <c r="O384" s="2">
        <v>613195</v>
      </c>
      <c r="P384" s="2" t="s">
        <v>59</v>
      </c>
    </row>
    <row r="385" spans="1:16">
      <c r="A385">
        <v>2022</v>
      </c>
      <c r="B385" t="s">
        <v>31</v>
      </c>
      <c r="C385" t="s">
        <v>25</v>
      </c>
      <c r="D385" t="s">
        <v>35</v>
      </c>
      <c r="E385">
        <v>2477</v>
      </c>
      <c r="F385">
        <v>2372</v>
      </c>
      <c r="G385">
        <v>3429</v>
      </c>
      <c r="H385">
        <v>1871</v>
      </c>
      <c r="I385" t="s">
        <v>12</v>
      </c>
      <c r="J385" s="21">
        <f ca="1">DATE(Table2[[#This Row],[Year]],MONTH(1 &amp; Table2[[#This Row],[Month]]),RANDBETWEEN(1,30))</f>
        <v>44777</v>
      </c>
      <c r="L385" s="2">
        <v>2021</v>
      </c>
      <c r="M385" s="2" t="s">
        <v>56</v>
      </c>
      <c r="N385" s="2">
        <v>219309</v>
      </c>
      <c r="O385" s="2">
        <v>550750</v>
      </c>
      <c r="P385" s="2" t="s">
        <v>59</v>
      </c>
    </row>
    <row r="386" spans="1:16">
      <c r="A386">
        <v>2022</v>
      </c>
      <c r="B386" t="s">
        <v>31</v>
      </c>
      <c r="C386" t="s">
        <v>10</v>
      </c>
      <c r="D386" t="s">
        <v>39</v>
      </c>
      <c r="E386">
        <v>1733</v>
      </c>
      <c r="F386">
        <v>5555</v>
      </c>
      <c r="G386">
        <v>5176</v>
      </c>
      <c r="H386">
        <v>284</v>
      </c>
      <c r="I386" t="s">
        <v>12</v>
      </c>
      <c r="J386" s="21">
        <f ca="1">DATE(Table2[[#This Row],[Year]],MONTH(1 &amp; Table2[[#This Row],[Month]]),RANDBETWEEN(1,30))</f>
        <v>44791</v>
      </c>
      <c r="L386" s="2">
        <v>2022</v>
      </c>
      <c r="M386" s="2" t="s">
        <v>58</v>
      </c>
      <c r="N386" s="2">
        <v>410202</v>
      </c>
      <c r="O386" s="2">
        <v>429672</v>
      </c>
      <c r="P386" s="2" t="s">
        <v>49</v>
      </c>
    </row>
    <row r="387" spans="1:16">
      <c r="A387">
        <v>2022</v>
      </c>
      <c r="B387" t="s">
        <v>31</v>
      </c>
      <c r="C387" t="s">
        <v>15</v>
      </c>
      <c r="D387" t="s">
        <v>37</v>
      </c>
      <c r="E387">
        <v>1582</v>
      </c>
      <c r="F387">
        <v>8245</v>
      </c>
      <c r="G387">
        <v>11195</v>
      </c>
      <c r="H387">
        <v>1519</v>
      </c>
      <c r="I387" t="s">
        <v>12</v>
      </c>
      <c r="J387" s="21">
        <f ca="1">DATE(Table2[[#This Row],[Year]],MONTH(1 &amp; Table2[[#This Row],[Month]]),RANDBETWEEN(1,30))</f>
        <v>44778</v>
      </c>
      <c r="L387" s="2">
        <v>2022</v>
      </c>
      <c r="M387" s="2" t="s">
        <v>57</v>
      </c>
      <c r="N387" s="2">
        <v>257249</v>
      </c>
      <c r="O387" s="2">
        <v>227551</v>
      </c>
      <c r="P387" s="2" t="s">
        <v>53</v>
      </c>
    </row>
    <row r="388" spans="1:16">
      <c r="A388">
        <v>2022</v>
      </c>
      <c r="B388" t="s">
        <v>31</v>
      </c>
      <c r="C388" t="s">
        <v>23</v>
      </c>
      <c r="D388" t="s">
        <v>11</v>
      </c>
      <c r="E388">
        <v>852</v>
      </c>
      <c r="F388">
        <v>7538</v>
      </c>
      <c r="G388">
        <v>11514</v>
      </c>
      <c r="H388">
        <v>385</v>
      </c>
      <c r="I388" t="s">
        <v>18</v>
      </c>
      <c r="J388" s="21">
        <f ca="1">DATE(Table2[[#This Row],[Year]],MONTH(1 &amp; Table2[[#This Row],[Month]]),RANDBETWEEN(1,30))</f>
        <v>44779</v>
      </c>
      <c r="L388" s="2">
        <v>2025</v>
      </c>
      <c r="M388" s="2" t="s">
        <v>51</v>
      </c>
      <c r="N388" s="2">
        <v>155702</v>
      </c>
      <c r="O388" s="2">
        <v>413447</v>
      </c>
      <c r="P388" s="2" t="s">
        <v>49</v>
      </c>
    </row>
    <row r="389" spans="1:16">
      <c r="A389">
        <v>2022</v>
      </c>
      <c r="B389" t="s">
        <v>31</v>
      </c>
      <c r="C389" t="s">
        <v>25</v>
      </c>
      <c r="D389" t="s">
        <v>39</v>
      </c>
      <c r="E389">
        <v>748</v>
      </c>
      <c r="F389">
        <v>6426</v>
      </c>
      <c r="G389">
        <v>8205</v>
      </c>
      <c r="H389">
        <v>2165</v>
      </c>
      <c r="I389" t="s">
        <v>18</v>
      </c>
      <c r="J389" s="21">
        <f ca="1">DATE(Table2[[#This Row],[Year]],MONTH(1 &amp; Table2[[#This Row],[Month]]),RANDBETWEEN(1,30))</f>
        <v>44794</v>
      </c>
      <c r="L389" s="2">
        <v>2022</v>
      </c>
      <c r="M389" s="2" t="s">
        <v>55</v>
      </c>
      <c r="N389" s="2">
        <v>104286</v>
      </c>
      <c r="O389" s="2">
        <v>434512</v>
      </c>
      <c r="P389" s="2" t="s">
        <v>50</v>
      </c>
    </row>
    <row r="390" spans="1:16">
      <c r="A390">
        <v>2022</v>
      </c>
      <c r="B390" t="s">
        <v>31</v>
      </c>
      <c r="C390" t="s">
        <v>10</v>
      </c>
      <c r="D390" t="s">
        <v>22</v>
      </c>
      <c r="E390">
        <v>83</v>
      </c>
      <c r="F390">
        <v>9116</v>
      </c>
      <c r="G390">
        <v>10355</v>
      </c>
      <c r="H390">
        <v>2547</v>
      </c>
      <c r="I390" t="s">
        <v>12</v>
      </c>
      <c r="J390" s="21">
        <f ca="1">DATE(Table2[[#This Row],[Year]],MONTH(1 &amp; Table2[[#This Row],[Month]]),RANDBETWEEN(1,30))</f>
        <v>44774</v>
      </c>
      <c r="L390" s="2">
        <v>2025</v>
      </c>
      <c r="M390" s="2" t="s">
        <v>48</v>
      </c>
      <c r="N390" s="2">
        <v>317703</v>
      </c>
      <c r="O390" s="2">
        <v>664278</v>
      </c>
      <c r="P390" s="2" t="s">
        <v>59</v>
      </c>
    </row>
    <row r="391" spans="1:16">
      <c r="A391">
        <v>2022</v>
      </c>
      <c r="B391" t="s">
        <v>13</v>
      </c>
      <c r="C391" t="s">
        <v>15</v>
      </c>
      <c r="D391" t="s">
        <v>34</v>
      </c>
      <c r="E391">
        <v>1803</v>
      </c>
      <c r="F391">
        <v>9954</v>
      </c>
      <c r="G391">
        <v>3019</v>
      </c>
      <c r="H391">
        <v>2826</v>
      </c>
      <c r="I391" t="s">
        <v>12</v>
      </c>
      <c r="J391" s="21">
        <f ca="1">DATE(Table2[[#This Row],[Year]],MONTH(1 &amp; Table2[[#This Row],[Month]]),RANDBETWEEN(1,30))</f>
        <v>44826</v>
      </c>
      <c r="L391" s="2">
        <v>2024</v>
      </c>
      <c r="M391" s="2" t="s">
        <v>48</v>
      </c>
      <c r="N391" s="2">
        <v>490312</v>
      </c>
      <c r="O391" s="2">
        <v>520543</v>
      </c>
      <c r="P391" s="2" t="s">
        <v>50</v>
      </c>
    </row>
    <row r="392" spans="1:16">
      <c r="A392">
        <v>2022</v>
      </c>
      <c r="B392" t="s">
        <v>13</v>
      </c>
      <c r="C392" t="s">
        <v>25</v>
      </c>
      <c r="D392" t="s">
        <v>30</v>
      </c>
      <c r="E392">
        <v>1406</v>
      </c>
      <c r="F392">
        <v>1189</v>
      </c>
      <c r="G392">
        <v>5717</v>
      </c>
      <c r="H392">
        <v>2434</v>
      </c>
      <c r="I392" t="s">
        <v>28</v>
      </c>
      <c r="J392" s="21">
        <f ca="1">DATE(Table2[[#This Row],[Year]],MONTH(1 &amp; Table2[[#This Row],[Month]]),RANDBETWEEN(1,30))</f>
        <v>44818</v>
      </c>
      <c r="L392" s="2">
        <v>2024</v>
      </c>
      <c r="M392" s="2" t="s">
        <v>54</v>
      </c>
      <c r="N392" s="2">
        <v>247654</v>
      </c>
      <c r="O392" s="2">
        <v>355826</v>
      </c>
      <c r="P392" s="2" t="s">
        <v>50</v>
      </c>
    </row>
    <row r="393" spans="1:16">
      <c r="A393">
        <v>2022</v>
      </c>
      <c r="B393" t="s">
        <v>13</v>
      </c>
      <c r="C393" t="s">
        <v>29</v>
      </c>
      <c r="D393" t="s">
        <v>11</v>
      </c>
      <c r="E393">
        <v>1204</v>
      </c>
      <c r="F393">
        <v>8715</v>
      </c>
      <c r="G393">
        <v>11061</v>
      </c>
      <c r="H393">
        <v>1639</v>
      </c>
      <c r="I393" t="s">
        <v>12</v>
      </c>
      <c r="J393" s="21">
        <f ca="1">DATE(Table2[[#This Row],[Year]],MONTH(1 &amp; Table2[[#This Row],[Month]]),RANDBETWEEN(1,30))</f>
        <v>44824</v>
      </c>
      <c r="L393" s="2">
        <v>2024</v>
      </c>
      <c r="M393" s="2" t="s">
        <v>61</v>
      </c>
      <c r="N393" s="2">
        <v>242877</v>
      </c>
      <c r="O393" s="2">
        <v>462659</v>
      </c>
      <c r="P393" s="2" t="s">
        <v>49</v>
      </c>
    </row>
    <row r="394" spans="1:16">
      <c r="A394">
        <v>2022</v>
      </c>
      <c r="B394" t="s">
        <v>13</v>
      </c>
      <c r="C394" t="s">
        <v>29</v>
      </c>
      <c r="D394" t="s">
        <v>43</v>
      </c>
      <c r="E394">
        <v>1595</v>
      </c>
      <c r="F394">
        <v>8894</v>
      </c>
      <c r="G394">
        <v>6323</v>
      </c>
      <c r="H394">
        <v>2256</v>
      </c>
      <c r="I394" t="s">
        <v>18</v>
      </c>
      <c r="J394" s="21">
        <f ca="1">DATE(Table2[[#This Row],[Year]],MONTH(1 &amp; Table2[[#This Row],[Month]]),RANDBETWEEN(1,30))</f>
        <v>44823</v>
      </c>
      <c r="L394" s="2">
        <v>2022</v>
      </c>
      <c r="M394" s="2" t="s">
        <v>54</v>
      </c>
      <c r="N394" s="2">
        <v>237637</v>
      </c>
      <c r="O394" s="2">
        <v>233028</v>
      </c>
      <c r="P394" s="2" t="s">
        <v>50</v>
      </c>
    </row>
    <row r="395" spans="1:16">
      <c r="A395">
        <v>2022</v>
      </c>
      <c r="B395" t="s">
        <v>13</v>
      </c>
      <c r="C395" t="s">
        <v>29</v>
      </c>
      <c r="D395" t="s">
        <v>16</v>
      </c>
      <c r="E395">
        <v>2835</v>
      </c>
      <c r="F395">
        <v>9827</v>
      </c>
      <c r="G395">
        <v>4490</v>
      </c>
      <c r="H395">
        <v>1412</v>
      </c>
      <c r="I395" t="s">
        <v>18</v>
      </c>
      <c r="J395" s="21">
        <f ca="1">DATE(Table2[[#This Row],[Year]],MONTH(1 &amp; Table2[[#This Row],[Month]]),RANDBETWEEN(1,30))</f>
        <v>44834</v>
      </c>
      <c r="L395" s="2">
        <v>2021</v>
      </c>
      <c r="M395" s="2" t="s">
        <v>52</v>
      </c>
      <c r="N395" s="2">
        <v>308218</v>
      </c>
      <c r="O395" s="2">
        <v>686284</v>
      </c>
      <c r="P395" s="2" t="s">
        <v>49</v>
      </c>
    </row>
    <row r="396" spans="1:16">
      <c r="A396">
        <v>2022</v>
      </c>
      <c r="B396" t="s">
        <v>13</v>
      </c>
      <c r="C396" t="s">
        <v>15</v>
      </c>
      <c r="D396" t="s">
        <v>42</v>
      </c>
      <c r="E396">
        <v>1515</v>
      </c>
      <c r="F396">
        <v>7556</v>
      </c>
      <c r="G396">
        <v>2622</v>
      </c>
      <c r="H396">
        <v>2750</v>
      </c>
      <c r="I396" t="s">
        <v>18</v>
      </c>
      <c r="J396" s="21">
        <f ca="1">DATE(Table2[[#This Row],[Year]],MONTH(1 &amp; Table2[[#This Row],[Month]]),RANDBETWEEN(1,30))</f>
        <v>44822</v>
      </c>
      <c r="L396" s="2">
        <v>2025</v>
      </c>
      <c r="M396" s="2" t="s">
        <v>57</v>
      </c>
      <c r="N396" s="2">
        <v>276266</v>
      </c>
      <c r="O396" s="2">
        <v>380030</v>
      </c>
      <c r="P396" s="2" t="s">
        <v>53</v>
      </c>
    </row>
    <row r="397" spans="1:16">
      <c r="A397">
        <v>2022</v>
      </c>
      <c r="B397" t="s">
        <v>13</v>
      </c>
      <c r="C397" t="s">
        <v>15</v>
      </c>
      <c r="D397" t="s">
        <v>35</v>
      </c>
      <c r="E397">
        <v>3416</v>
      </c>
      <c r="F397">
        <v>9046</v>
      </c>
      <c r="G397">
        <v>5530</v>
      </c>
      <c r="H397">
        <v>2939</v>
      </c>
      <c r="I397" t="s">
        <v>28</v>
      </c>
      <c r="J397" s="21">
        <f ca="1">DATE(Table2[[#This Row],[Year]],MONTH(1 &amp; Table2[[#This Row],[Month]]),RANDBETWEEN(1,30))</f>
        <v>44813</v>
      </c>
      <c r="L397" s="2">
        <v>2022</v>
      </c>
      <c r="M397" s="2" t="s">
        <v>54</v>
      </c>
      <c r="N397" s="2">
        <v>451966</v>
      </c>
      <c r="O397" s="2">
        <v>438934</v>
      </c>
      <c r="P397" s="2" t="s">
        <v>53</v>
      </c>
    </row>
    <row r="398" spans="1:16">
      <c r="A398">
        <v>2022</v>
      </c>
      <c r="B398" t="s">
        <v>13</v>
      </c>
      <c r="C398" t="s">
        <v>29</v>
      </c>
      <c r="D398" t="s">
        <v>22</v>
      </c>
      <c r="E398">
        <v>1555</v>
      </c>
      <c r="F398">
        <v>1609</v>
      </c>
      <c r="G398">
        <v>7139</v>
      </c>
      <c r="H398">
        <v>2919</v>
      </c>
      <c r="I398" t="s">
        <v>12</v>
      </c>
      <c r="J398" s="21">
        <f ca="1">DATE(Table2[[#This Row],[Year]],MONTH(1 &amp; Table2[[#This Row],[Month]]),RANDBETWEEN(1,30))</f>
        <v>44824</v>
      </c>
      <c r="L398" s="2">
        <v>2021</v>
      </c>
      <c r="M398" s="2" t="s">
        <v>52</v>
      </c>
      <c r="N398" s="2">
        <v>302208</v>
      </c>
      <c r="O398" s="2">
        <v>377642</v>
      </c>
      <c r="P398" s="2" t="s">
        <v>59</v>
      </c>
    </row>
    <row r="399" spans="1:16">
      <c r="A399">
        <v>2022</v>
      </c>
      <c r="B399" t="s">
        <v>13</v>
      </c>
      <c r="C399" t="s">
        <v>21</v>
      </c>
      <c r="D399" t="s">
        <v>34</v>
      </c>
      <c r="E399">
        <v>2134</v>
      </c>
      <c r="F399">
        <v>5332</v>
      </c>
      <c r="G399">
        <v>5601</v>
      </c>
      <c r="H399">
        <v>634</v>
      </c>
      <c r="I399" t="s">
        <v>18</v>
      </c>
      <c r="J399" s="21">
        <f ca="1">DATE(Table2[[#This Row],[Year]],MONTH(1 &amp; Table2[[#This Row],[Month]]),RANDBETWEEN(1,30))</f>
        <v>44829</v>
      </c>
      <c r="L399" s="2">
        <v>2024</v>
      </c>
      <c r="M399" s="2" t="s">
        <v>58</v>
      </c>
      <c r="N399" s="2">
        <v>303103</v>
      </c>
      <c r="O399" s="2">
        <v>541256</v>
      </c>
      <c r="P399" s="2" t="s">
        <v>59</v>
      </c>
    </row>
    <row r="400" spans="1:16">
      <c r="A400">
        <v>2022</v>
      </c>
      <c r="B400" t="s">
        <v>13</v>
      </c>
      <c r="C400" t="s">
        <v>21</v>
      </c>
      <c r="D400" t="s">
        <v>17</v>
      </c>
      <c r="E400">
        <v>2374</v>
      </c>
      <c r="F400">
        <v>8096</v>
      </c>
      <c r="G400">
        <v>7829</v>
      </c>
      <c r="H400">
        <v>1145</v>
      </c>
      <c r="I400" t="s">
        <v>28</v>
      </c>
      <c r="J400" s="21">
        <f ca="1">DATE(Table2[[#This Row],[Year]],MONTH(1 &amp; Table2[[#This Row],[Month]]),RANDBETWEEN(1,30))</f>
        <v>44826</v>
      </c>
      <c r="L400" s="2">
        <v>2023</v>
      </c>
      <c r="M400" s="2" t="s">
        <v>48</v>
      </c>
      <c r="N400" s="2">
        <v>155349</v>
      </c>
      <c r="O400" s="2">
        <v>531116</v>
      </c>
      <c r="P400" s="2" t="s">
        <v>59</v>
      </c>
    </row>
    <row r="401" spans="1:16">
      <c r="A401">
        <v>2022</v>
      </c>
      <c r="B401" t="s">
        <v>13</v>
      </c>
      <c r="C401" t="s">
        <v>25</v>
      </c>
      <c r="D401" t="s">
        <v>26</v>
      </c>
      <c r="E401">
        <v>1611</v>
      </c>
      <c r="F401">
        <v>9263</v>
      </c>
      <c r="G401">
        <v>6344</v>
      </c>
      <c r="H401">
        <v>951</v>
      </c>
      <c r="I401" t="s">
        <v>18</v>
      </c>
      <c r="J401" s="21">
        <f ca="1">DATE(Table2[[#This Row],[Year]],MONTH(1 &amp; Table2[[#This Row],[Month]]),RANDBETWEEN(1,30))</f>
        <v>44820</v>
      </c>
      <c r="L401" s="2">
        <v>2020</v>
      </c>
      <c r="M401" s="2" t="s">
        <v>52</v>
      </c>
      <c r="N401" s="2">
        <v>493096</v>
      </c>
      <c r="O401" s="2">
        <v>557661</v>
      </c>
      <c r="P401" s="2" t="s">
        <v>50</v>
      </c>
    </row>
    <row r="402" spans="1:16">
      <c r="A402">
        <v>2022</v>
      </c>
      <c r="B402" t="s">
        <v>24</v>
      </c>
      <c r="C402" t="s">
        <v>29</v>
      </c>
      <c r="D402" t="s">
        <v>11</v>
      </c>
      <c r="E402">
        <v>2178</v>
      </c>
      <c r="F402">
        <v>1789</v>
      </c>
      <c r="G402">
        <v>2723</v>
      </c>
      <c r="H402">
        <v>2837</v>
      </c>
      <c r="I402" t="s">
        <v>12</v>
      </c>
      <c r="J402" s="21">
        <f ca="1">DATE(Table2[[#This Row],[Year]],MONTH(1 &amp; Table2[[#This Row],[Month]]),RANDBETWEEN(1,30))</f>
        <v>44840</v>
      </c>
      <c r="L402" s="2">
        <v>2020</v>
      </c>
      <c r="M402" s="2" t="s">
        <v>61</v>
      </c>
      <c r="N402" s="2">
        <v>199989</v>
      </c>
      <c r="O402" s="2">
        <v>334072</v>
      </c>
      <c r="P402" s="2" t="s">
        <v>49</v>
      </c>
    </row>
    <row r="403" spans="1:16">
      <c r="A403">
        <v>2022</v>
      </c>
      <c r="B403" t="s">
        <v>24</v>
      </c>
      <c r="C403" t="s">
        <v>15</v>
      </c>
      <c r="D403" t="s">
        <v>22</v>
      </c>
      <c r="E403">
        <v>3385</v>
      </c>
      <c r="F403">
        <v>8372</v>
      </c>
      <c r="G403">
        <v>3794</v>
      </c>
      <c r="H403">
        <v>2320</v>
      </c>
      <c r="I403" t="s">
        <v>18</v>
      </c>
      <c r="J403" s="21">
        <f ca="1">DATE(Table2[[#This Row],[Year]],MONTH(1 &amp; Table2[[#This Row],[Month]]),RANDBETWEEN(1,30))</f>
        <v>44844</v>
      </c>
      <c r="L403" s="2">
        <v>2021</v>
      </c>
      <c r="M403" s="2" t="s">
        <v>54</v>
      </c>
      <c r="N403" s="2">
        <v>129346</v>
      </c>
      <c r="O403" s="2">
        <v>357834</v>
      </c>
      <c r="P403" s="2" t="s">
        <v>53</v>
      </c>
    </row>
    <row r="404" spans="1:16">
      <c r="A404">
        <v>2022</v>
      </c>
      <c r="B404" t="s">
        <v>24</v>
      </c>
      <c r="C404" t="s">
        <v>25</v>
      </c>
      <c r="D404" t="s">
        <v>26</v>
      </c>
      <c r="E404">
        <v>71</v>
      </c>
      <c r="F404">
        <v>8203</v>
      </c>
      <c r="G404">
        <v>6391</v>
      </c>
      <c r="H404">
        <v>2993</v>
      </c>
      <c r="I404" t="s">
        <v>12</v>
      </c>
      <c r="J404" s="21">
        <f ca="1">DATE(Table2[[#This Row],[Year]],MONTH(1 &amp; Table2[[#This Row],[Month]]),RANDBETWEEN(1,30))</f>
        <v>44858</v>
      </c>
      <c r="L404" s="2">
        <v>2025</v>
      </c>
      <c r="M404" s="2" t="s">
        <v>57</v>
      </c>
      <c r="N404" s="2">
        <v>365258</v>
      </c>
      <c r="O404" s="2">
        <v>262626</v>
      </c>
      <c r="P404" s="2" t="s">
        <v>50</v>
      </c>
    </row>
    <row r="405" spans="1:16">
      <c r="A405">
        <v>2022</v>
      </c>
      <c r="B405" t="s">
        <v>24</v>
      </c>
      <c r="C405" t="s">
        <v>21</v>
      </c>
      <c r="D405" t="s">
        <v>26</v>
      </c>
      <c r="E405">
        <v>3305</v>
      </c>
      <c r="F405">
        <v>1584</v>
      </c>
      <c r="G405">
        <v>2292</v>
      </c>
      <c r="H405">
        <v>1867</v>
      </c>
      <c r="I405" t="s">
        <v>28</v>
      </c>
      <c r="J405" s="21">
        <f ca="1">DATE(Table2[[#This Row],[Year]],MONTH(1 &amp; Table2[[#This Row],[Month]]),RANDBETWEEN(1,30))</f>
        <v>44851</v>
      </c>
      <c r="L405" s="2">
        <v>2025</v>
      </c>
      <c r="M405" s="2" t="s">
        <v>60</v>
      </c>
      <c r="N405" s="2">
        <v>338147</v>
      </c>
      <c r="O405" s="2">
        <v>527755</v>
      </c>
      <c r="P405" s="2" t="s">
        <v>49</v>
      </c>
    </row>
    <row r="406" spans="1:16">
      <c r="A406">
        <v>2022</v>
      </c>
      <c r="B406" t="s">
        <v>24</v>
      </c>
      <c r="C406" t="s">
        <v>15</v>
      </c>
      <c r="D406" t="s">
        <v>37</v>
      </c>
      <c r="E406">
        <v>3177</v>
      </c>
      <c r="F406">
        <v>4964</v>
      </c>
      <c r="G406">
        <v>6739</v>
      </c>
      <c r="H406">
        <v>1354</v>
      </c>
      <c r="I406" t="s">
        <v>18</v>
      </c>
      <c r="J406" s="21">
        <f ca="1">DATE(Table2[[#This Row],[Year]],MONTH(1 &amp; Table2[[#This Row],[Month]]),RANDBETWEEN(1,30))</f>
        <v>44864</v>
      </c>
      <c r="L406" s="2">
        <v>2024</v>
      </c>
      <c r="M406" s="2" t="s">
        <v>51</v>
      </c>
      <c r="N406" s="2">
        <v>266058</v>
      </c>
      <c r="O406" s="2">
        <v>219899</v>
      </c>
      <c r="P406" s="2" t="s">
        <v>53</v>
      </c>
    </row>
    <row r="407" spans="1:16">
      <c r="A407">
        <v>2022</v>
      </c>
      <c r="B407" t="s">
        <v>24</v>
      </c>
      <c r="C407" t="s">
        <v>10</v>
      </c>
      <c r="D407" t="s">
        <v>22</v>
      </c>
      <c r="E407">
        <v>1854</v>
      </c>
      <c r="F407">
        <v>4082</v>
      </c>
      <c r="G407">
        <v>4415</v>
      </c>
      <c r="H407">
        <v>2914</v>
      </c>
      <c r="I407" t="s">
        <v>18</v>
      </c>
      <c r="J407" s="21">
        <f ca="1">DATE(Table2[[#This Row],[Year]],MONTH(1 &amp; Table2[[#This Row],[Month]]),RANDBETWEEN(1,30))</f>
        <v>44857</v>
      </c>
      <c r="L407" s="2">
        <v>2020</v>
      </c>
      <c r="M407" s="2" t="s">
        <v>57</v>
      </c>
      <c r="N407" s="2">
        <v>268877</v>
      </c>
      <c r="O407" s="2">
        <v>498841</v>
      </c>
      <c r="P407" s="2" t="s">
        <v>50</v>
      </c>
    </row>
    <row r="408" spans="1:16">
      <c r="A408">
        <v>2022</v>
      </c>
      <c r="B408" t="s">
        <v>24</v>
      </c>
      <c r="C408" t="s">
        <v>25</v>
      </c>
      <c r="D408" t="s">
        <v>37</v>
      </c>
      <c r="E408">
        <v>3197</v>
      </c>
      <c r="F408">
        <v>8399</v>
      </c>
      <c r="G408">
        <v>9185</v>
      </c>
      <c r="H408">
        <v>1963</v>
      </c>
      <c r="I408" t="s">
        <v>18</v>
      </c>
      <c r="J408" s="21">
        <f ca="1">DATE(Table2[[#This Row],[Year]],MONTH(1 &amp; Table2[[#This Row],[Month]]),RANDBETWEEN(1,30))</f>
        <v>44855</v>
      </c>
      <c r="L408" s="2">
        <v>2020</v>
      </c>
      <c r="M408" s="2" t="s">
        <v>55</v>
      </c>
      <c r="N408" s="2">
        <v>414026</v>
      </c>
      <c r="O408" s="2">
        <v>634848</v>
      </c>
      <c r="P408" s="2" t="s">
        <v>50</v>
      </c>
    </row>
    <row r="409" spans="1:16">
      <c r="A409">
        <v>2022</v>
      </c>
      <c r="B409" t="s">
        <v>24</v>
      </c>
      <c r="C409" t="s">
        <v>25</v>
      </c>
      <c r="D409" t="s">
        <v>37</v>
      </c>
      <c r="E409">
        <v>2456</v>
      </c>
      <c r="F409">
        <v>3491</v>
      </c>
      <c r="G409">
        <v>7356</v>
      </c>
      <c r="H409">
        <v>368</v>
      </c>
      <c r="I409" t="s">
        <v>28</v>
      </c>
      <c r="J409" s="21">
        <f ca="1">DATE(Table2[[#This Row],[Year]],MONTH(1 &amp; Table2[[#This Row],[Month]]),RANDBETWEEN(1,30))</f>
        <v>44864</v>
      </c>
      <c r="L409" s="2">
        <v>2024</v>
      </c>
      <c r="M409" s="2" t="s">
        <v>55</v>
      </c>
      <c r="N409" s="2">
        <v>178285</v>
      </c>
      <c r="O409" s="2">
        <v>645416</v>
      </c>
      <c r="P409" s="2" t="s">
        <v>50</v>
      </c>
    </row>
    <row r="410" spans="1:16">
      <c r="A410">
        <v>2022</v>
      </c>
      <c r="B410" t="s">
        <v>24</v>
      </c>
      <c r="C410" t="s">
        <v>25</v>
      </c>
      <c r="D410" t="s">
        <v>43</v>
      </c>
      <c r="E410">
        <v>3537</v>
      </c>
      <c r="F410">
        <v>2065</v>
      </c>
      <c r="G410">
        <v>10668</v>
      </c>
      <c r="H410">
        <v>536</v>
      </c>
      <c r="I410" t="s">
        <v>12</v>
      </c>
      <c r="J410" s="21">
        <f ca="1">DATE(Table2[[#This Row],[Year]],MONTH(1 &amp; Table2[[#This Row],[Month]]),RANDBETWEEN(1,30))</f>
        <v>44855</v>
      </c>
      <c r="L410" s="2">
        <v>2025</v>
      </c>
      <c r="M410" s="2" t="s">
        <v>56</v>
      </c>
      <c r="N410" s="2">
        <v>428101</v>
      </c>
      <c r="O410" s="2">
        <v>424519</v>
      </c>
      <c r="P410" s="2" t="s">
        <v>49</v>
      </c>
    </row>
    <row r="411" spans="1:16">
      <c r="A411">
        <v>2022</v>
      </c>
      <c r="B411" t="s">
        <v>24</v>
      </c>
      <c r="C411" t="s">
        <v>15</v>
      </c>
      <c r="D411" t="s">
        <v>11</v>
      </c>
      <c r="E411">
        <v>2487</v>
      </c>
      <c r="F411">
        <v>2176</v>
      </c>
      <c r="G411">
        <v>9130</v>
      </c>
      <c r="H411">
        <v>851</v>
      </c>
      <c r="I411" t="s">
        <v>12</v>
      </c>
      <c r="J411" s="21">
        <f ca="1">DATE(Table2[[#This Row],[Year]],MONTH(1 &amp; Table2[[#This Row],[Month]]),RANDBETWEEN(1,30))</f>
        <v>44859</v>
      </c>
      <c r="L411" s="2">
        <v>2021</v>
      </c>
      <c r="M411" s="2" t="s">
        <v>55</v>
      </c>
      <c r="N411" s="2">
        <v>359499</v>
      </c>
      <c r="O411" s="2">
        <v>429652</v>
      </c>
      <c r="P411" s="2" t="s">
        <v>50</v>
      </c>
    </row>
    <row r="412" spans="1:16">
      <c r="A412">
        <v>2022</v>
      </c>
      <c r="B412" t="s">
        <v>32</v>
      </c>
      <c r="C412" t="s">
        <v>21</v>
      </c>
      <c r="D412" t="s">
        <v>26</v>
      </c>
      <c r="E412">
        <v>1441</v>
      </c>
      <c r="F412">
        <v>8702</v>
      </c>
      <c r="G412">
        <v>4711</v>
      </c>
      <c r="H412">
        <v>2186</v>
      </c>
      <c r="I412" t="s">
        <v>28</v>
      </c>
      <c r="J412" s="21">
        <f ca="1">DATE(Table2[[#This Row],[Year]],MONTH(1 &amp; Table2[[#This Row],[Month]]),RANDBETWEEN(1,30))</f>
        <v>44882</v>
      </c>
      <c r="L412" s="2">
        <v>2021</v>
      </c>
      <c r="M412" s="2" t="s">
        <v>58</v>
      </c>
      <c r="N412" s="2">
        <v>267588</v>
      </c>
      <c r="O412" s="2">
        <v>238485</v>
      </c>
      <c r="P412" s="2" t="s">
        <v>50</v>
      </c>
    </row>
    <row r="413" spans="1:16">
      <c r="A413">
        <v>2022</v>
      </c>
      <c r="B413" t="s">
        <v>32</v>
      </c>
      <c r="C413" t="s">
        <v>23</v>
      </c>
      <c r="D413" t="s">
        <v>23</v>
      </c>
      <c r="E413">
        <v>837</v>
      </c>
      <c r="F413">
        <v>8790</v>
      </c>
      <c r="G413">
        <v>10449</v>
      </c>
      <c r="H413">
        <v>624</v>
      </c>
      <c r="I413" t="s">
        <v>18</v>
      </c>
      <c r="J413" s="21">
        <f ca="1">DATE(Table2[[#This Row],[Year]],MONTH(1 &amp; Table2[[#This Row],[Month]]),RANDBETWEEN(1,30))</f>
        <v>44878</v>
      </c>
      <c r="L413" s="2">
        <v>2025</v>
      </c>
      <c r="M413" s="2" t="s">
        <v>55</v>
      </c>
      <c r="N413" s="2">
        <v>283211</v>
      </c>
      <c r="O413" s="2">
        <v>535383</v>
      </c>
      <c r="P413" s="2" t="s">
        <v>59</v>
      </c>
    </row>
    <row r="414" spans="1:16">
      <c r="A414">
        <v>2022</v>
      </c>
      <c r="B414" t="s">
        <v>32</v>
      </c>
      <c r="C414" t="s">
        <v>10</v>
      </c>
      <c r="D414" t="s">
        <v>16</v>
      </c>
      <c r="E414">
        <v>1398</v>
      </c>
      <c r="F414">
        <v>2808</v>
      </c>
      <c r="G414">
        <v>4107</v>
      </c>
      <c r="H414">
        <v>1778</v>
      </c>
      <c r="I414" t="s">
        <v>28</v>
      </c>
      <c r="J414" s="21">
        <f ca="1">DATE(Table2[[#This Row],[Year]],MONTH(1 &amp; Table2[[#This Row],[Month]]),RANDBETWEEN(1,30))</f>
        <v>44890</v>
      </c>
      <c r="L414" s="2">
        <v>2023</v>
      </c>
      <c r="M414" s="2" t="s">
        <v>61</v>
      </c>
      <c r="N414" s="2">
        <v>202659</v>
      </c>
      <c r="O414" s="2">
        <v>610630</v>
      </c>
      <c r="P414" s="2" t="s">
        <v>59</v>
      </c>
    </row>
    <row r="415" spans="1:16">
      <c r="A415">
        <v>2022</v>
      </c>
      <c r="B415" t="s">
        <v>32</v>
      </c>
      <c r="C415" t="s">
        <v>25</v>
      </c>
      <c r="D415" t="s">
        <v>43</v>
      </c>
      <c r="E415">
        <v>1436</v>
      </c>
      <c r="F415">
        <v>7712</v>
      </c>
      <c r="G415">
        <v>7215</v>
      </c>
      <c r="H415">
        <v>2852</v>
      </c>
      <c r="I415" t="s">
        <v>28</v>
      </c>
      <c r="J415" s="21">
        <f ca="1">DATE(Table2[[#This Row],[Year]],MONTH(1 &amp; Table2[[#This Row],[Month]]),RANDBETWEEN(1,30))</f>
        <v>44872</v>
      </c>
      <c r="L415" s="2">
        <v>2020</v>
      </c>
      <c r="M415" s="2" t="s">
        <v>56</v>
      </c>
      <c r="N415" s="2">
        <v>400846</v>
      </c>
      <c r="O415" s="2">
        <v>322328</v>
      </c>
      <c r="P415" s="2" t="s">
        <v>50</v>
      </c>
    </row>
    <row r="416" spans="1:16">
      <c r="A416">
        <v>2022</v>
      </c>
      <c r="B416" t="s">
        <v>32</v>
      </c>
      <c r="C416" t="s">
        <v>15</v>
      </c>
      <c r="D416" t="s">
        <v>38</v>
      </c>
      <c r="E416">
        <v>1960</v>
      </c>
      <c r="F416">
        <v>9353</v>
      </c>
      <c r="G416">
        <v>11628</v>
      </c>
      <c r="H416">
        <v>1016</v>
      </c>
      <c r="I416" t="s">
        <v>28</v>
      </c>
      <c r="J416" s="21">
        <f ca="1">DATE(Table2[[#This Row],[Year]],MONTH(1 &amp; Table2[[#This Row],[Month]]),RANDBETWEEN(1,30))</f>
        <v>44875</v>
      </c>
      <c r="L416" s="2">
        <v>2020</v>
      </c>
      <c r="M416" s="2" t="s">
        <v>54</v>
      </c>
      <c r="N416" s="2">
        <v>305150</v>
      </c>
      <c r="O416" s="2">
        <v>410650</v>
      </c>
      <c r="P416" s="2" t="s">
        <v>53</v>
      </c>
    </row>
    <row r="417" spans="1:16">
      <c r="A417">
        <v>2022</v>
      </c>
      <c r="B417" t="s">
        <v>32</v>
      </c>
      <c r="C417" t="s">
        <v>10</v>
      </c>
      <c r="D417" t="s">
        <v>39</v>
      </c>
      <c r="E417">
        <v>3227</v>
      </c>
      <c r="F417">
        <v>5025</v>
      </c>
      <c r="G417">
        <v>7006</v>
      </c>
      <c r="H417">
        <v>2016</v>
      </c>
      <c r="I417" t="s">
        <v>18</v>
      </c>
      <c r="J417" s="21">
        <f ca="1">DATE(Table2[[#This Row],[Year]],MONTH(1 &amp; Table2[[#This Row],[Month]]),RANDBETWEEN(1,30))</f>
        <v>44884</v>
      </c>
      <c r="L417" s="2">
        <v>2024</v>
      </c>
      <c r="M417" s="2" t="s">
        <v>56</v>
      </c>
      <c r="N417" s="2">
        <v>228342</v>
      </c>
      <c r="O417" s="2">
        <v>619420</v>
      </c>
      <c r="P417" s="2" t="s">
        <v>53</v>
      </c>
    </row>
    <row r="418" spans="1:16">
      <c r="A418">
        <v>2022</v>
      </c>
      <c r="B418" t="s">
        <v>32</v>
      </c>
      <c r="C418" t="s">
        <v>21</v>
      </c>
      <c r="D418" t="s">
        <v>16</v>
      </c>
      <c r="E418">
        <v>1998</v>
      </c>
      <c r="F418">
        <v>2667</v>
      </c>
      <c r="G418">
        <v>4656</v>
      </c>
      <c r="H418">
        <v>1000</v>
      </c>
      <c r="I418" t="s">
        <v>18</v>
      </c>
      <c r="J418" s="21">
        <f ca="1">DATE(Table2[[#This Row],[Year]],MONTH(1 &amp; Table2[[#This Row],[Month]]),RANDBETWEEN(1,30))</f>
        <v>44886</v>
      </c>
      <c r="L418" s="2">
        <v>2024</v>
      </c>
      <c r="M418" s="2" t="s">
        <v>48</v>
      </c>
      <c r="N418" s="2">
        <v>338420</v>
      </c>
      <c r="O418" s="2">
        <v>638560</v>
      </c>
      <c r="P418" s="2" t="s">
        <v>50</v>
      </c>
    </row>
    <row r="419" spans="1:16">
      <c r="A419">
        <v>2022</v>
      </c>
      <c r="B419" t="s">
        <v>32</v>
      </c>
      <c r="C419" t="s">
        <v>23</v>
      </c>
      <c r="D419" t="s">
        <v>22</v>
      </c>
      <c r="E419">
        <v>2981</v>
      </c>
      <c r="F419">
        <v>2218</v>
      </c>
      <c r="G419">
        <v>8547</v>
      </c>
      <c r="H419">
        <v>2269</v>
      </c>
      <c r="I419" t="s">
        <v>18</v>
      </c>
      <c r="J419" s="21">
        <f ca="1">DATE(Table2[[#This Row],[Year]],MONTH(1 &amp; Table2[[#This Row],[Month]]),RANDBETWEEN(1,30))</f>
        <v>44894</v>
      </c>
      <c r="L419" s="2">
        <v>2022</v>
      </c>
      <c r="M419" s="2" t="s">
        <v>57</v>
      </c>
      <c r="N419" s="2">
        <v>498294</v>
      </c>
      <c r="O419" s="2">
        <v>321590</v>
      </c>
      <c r="P419" s="2" t="s">
        <v>59</v>
      </c>
    </row>
    <row r="420" spans="1:16">
      <c r="A420">
        <v>2022</v>
      </c>
      <c r="B420" t="s">
        <v>32</v>
      </c>
      <c r="C420" t="s">
        <v>21</v>
      </c>
      <c r="D420" t="s">
        <v>43</v>
      </c>
      <c r="E420">
        <v>1575</v>
      </c>
      <c r="F420">
        <v>9967</v>
      </c>
      <c r="G420">
        <v>8666</v>
      </c>
      <c r="H420">
        <v>2177</v>
      </c>
      <c r="I420" t="s">
        <v>18</v>
      </c>
      <c r="J420" s="21">
        <f ca="1">DATE(Table2[[#This Row],[Year]],MONTH(1 &amp; Table2[[#This Row],[Month]]),RANDBETWEEN(1,30))</f>
        <v>44891</v>
      </c>
      <c r="L420" s="2">
        <v>2022</v>
      </c>
      <c r="M420" s="2" t="s">
        <v>54</v>
      </c>
      <c r="N420" s="2">
        <v>274105</v>
      </c>
      <c r="O420" s="2">
        <v>475285</v>
      </c>
      <c r="P420" s="2" t="s">
        <v>49</v>
      </c>
    </row>
    <row r="421" spans="1:16">
      <c r="A421">
        <v>2022</v>
      </c>
      <c r="B421" t="s">
        <v>32</v>
      </c>
      <c r="C421" t="s">
        <v>21</v>
      </c>
      <c r="D421" t="s">
        <v>17</v>
      </c>
      <c r="E421">
        <v>363</v>
      </c>
      <c r="F421">
        <v>7057</v>
      </c>
      <c r="G421">
        <v>10361</v>
      </c>
      <c r="H421">
        <v>2646</v>
      </c>
      <c r="I421" t="s">
        <v>18</v>
      </c>
      <c r="J421" s="21">
        <f ca="1">DATE(Table2[[#This Row],[Year]],MONTH(1 &amp; Table2[[#This Row],[Month]]),RANDBETWEEN(1,30))</f>
        <v>44878</v>
      </c>
      <c r="L421" s="2">
        <v>2025</v>
      </c>
      <c r="M421" s="2" t="s">
        <v>52</v>
      </c>
      <c r="N421" s="2">
        <v>468277</v>
      </c>
      <c r="O421" s="2">
        <v>296247</v>
      </c>
      <c r="P421" s="2" t="s">
        <v>49</v>
      </c>
    </row>
    <row r="422" spans="1:16">
      <c r="A422">
        <v>2022</v>
      </c>
      <c r="B422" t="s">
        <v>32</v>
      </c>
      <c r="C422" t="s">
        <v>21</v>
      </c>
      <c r="D422" t="s">
        <v>39</v>
      </c>
      <c r="E422">
        <v>2305</v>
      </c>
      <c r="F422">
        <v>3341</v>
      </c>
      <c r="G422">
        <v>11019</v>
      </c>
      <c r="H422">
        <v>437</v>
      </c>
      <c r="I422" t="s">
        <v>28</v>
      </c>
      <c r="J422" s="21">
        <f ca="1">DATE(Table2[[#This Row],[Year]],MONTH(1 &amp; Table2[[#This Row],[Month]]),RANDBETWEEN(1,30))</f>
        <v>44872</v>
      </c>
      <c r="L422" s="2">
        <v>2023</v>
      </c>
      <c r="M422" s="2" t="s">
        <v>48</v>
      </c>
      <c r="N422" s="2">
        <v>238007</v>
      </c>
      <c r="O422" s="2">
        <v>250939</v>
      </c>
      <c r="P422" s="2" t="s">
        <v>49</v>
      </c>
    </row>
    <row r="423" spans="1:16">
      <c r="A423">
        <v>2022</v>
      </c>
      <c r="B423" t="s">
        <v>32</v>
      </c>
      <c r="C423" t="s">
        <v>29</v>
      </c>
      <c r="D423" t="s">
        <v>42</v>
      </c>
      <c r="E423">
        <v>2162</v>
      </c>
      <c r="F423">
        <v>5747</v>
      </c>
      <c r="G423">
        <v>3014</v>
      </c>
      <c r="H423">
        <v>823</v>
      </c>
      <c r="I423" t="s">
        <v>28</v>
      </c>
      <c r="J423" s="21">
        <f ca="1">DATE(Table2[[#This Row],[Year]],MONTH(1 &amp; Table2[[#This Row],[Month]]),RANDBETWEEN(1,30))</f>
        <v>44892</v>
      </c>
      <c r="L423" s="2">
        <v>2021</v>
      </c>
      <c r="M423" s="2" t="s">
        <v>48</v>
      </c>
      <c r="N423" s="2">
        <v>121893</v>
      </c>
      <c r="O423" s="2">
        <v>655560</v>
      </c>
      <c r="P423" s="2" t="s">
        <v>50</v>
      </c>
    </row>
    <row r="424" spans="1:16">
      <c r="A424">
        <v>2022</v>
      </c>
      <c r="B424" t="s">
        <v>32</v>
      </c>
      <c r="C424" t="s">
        <v>29</v>
      </c>
      <c r="D424" t="s">
        <v>38</v>
      </c>
      <c r="E424">
        <v>2940</v>
      </c>
      <c r="F424">
        <v>5710</v>
      </c>
      <c r="G424">
        <v>5966</v>
      </c>
      <c r="H424">
        <v>1400</v>
      </c>
      <c r="I424" t="s">
        <v>28</v>
      </c>
      <c r="J424" s="21">
        <f ca="1">DATE(Table2[[#This Row],[Year]],MONTH(1 &amp; Table2[[#This Row],[Month]]),RANDBETWEEN(1,30))</f>
        <v>44883</v>
      </c>
      <c r="L424" s="2">
        <v>2024</v>
      </c>
      <c r="M424" s="2" t="s">
        <v>60</v>
      </c>
      <c r="N424" s="2">
        <v>181697</v>
      </c>
      <c r="O424" s="2">
        <v>610254</v>
      </c>
      <c r="P424" s="2" t="s">
        <v>49</v>
      </c>
    </row>
    <row r="425" spans="1:16">
      <c r="A425">
        <v>2022</v>
      </c>
      <c r="B425" t="s">
        <v>41</v>
      </c>
      <c r="C425" t="s">
        <v>15</v>
      </c>
      <c r="D425" t="s">
        <v>37</v>
      </c>
      <c r="E425">
        <v>1893</v>
      </c>
      <c r="F425">
        <v>3159</v>
      </c>
      <c r="G425">
        <v>11685</v>
      </c>
      <c r="H425">
        <v>2632</v>
      </c>
      <c r="I425" t="s">
        <v>18</v>
      </c>
      <c r="J425" s="21">
        <f ca="1">DATE(Table2[[#This Row],[Year]],MONTH(1 &amp; Table2[[#This Row],[Month]]),RANDBETWEEN(1,30))</f>
        <v>44900</v>
      </c>
      <c r="L425" s="2">
        <v>2025</v>
      </c>
      <c r="M425" s="2" t="s">
        <v>52</v>
      </c>
      <c r="N425" s="2">
        <v>267478</v>
      </c>
      <c r="O425" s="2">
        <v>580017</v>
      </c>
      <c r="P425" s="2" t="s">
        <v>59</v>
      </c>
    </row>
    <row r="426" spans="1:16">
      <c r="A426">
        <v>2022</v>
      </c>
      <c r="B426" t="s">
        <v>41</v>
      </c>
      <c r="C426" t="s">
        <v>15</v>
      </c>
      <c r="D426" t="s">
        <v>35</v>
      </c>
      <c r="E426">
        <v>1912</v>
      </c>
      <c r="F426">
        <v>8482</v>
      </c>
      <c r="G426">
        <v>8665</v>
      </c>
      <c r="H426">
        <v>1780</v>
      </c>
      <c r="I426" t="s">
        <v>28</v>
      </c>
      <c r="J426" s="21">
        <f ca="1">DATE(Table2[[#This Row],[Year]],MONTH(1 &amp; Table2[[#This Row],[Month]]),RANDBETWEEN(1,30))</f>
        <v>44899</v>
      </c>
      <c r="L426" s="2">
        <v>2021</v>
      </c>
      <c r="M426" s="2" t="s">
        <v>48</v>
      </c>
      <c r="N426" s="2">
        <v>187854</v>
      </c>
      <c r="O426" s="2">
        <v>224383</v>
      </c>
      <c r="P426" s="2" t="s">
        <v>50</v>
      </c>
    </row>
    <row r="427" spans="1:16">
      <c r="A427">
        <v>2022</v>
      </c>
      <c r="B427" t="s">
        <v>41</v>
      </c>
      <c r="C427" t="s">
        <v>29</v>
      </c>
      <c r="D427" t="s">
        <v>43</v>
      </c>
      <c r="E427">
        <v>228</v>
      </c>
      <c r="F427">
        <v>1091</v>
      </c>
      <c r="G427">
        <v>8314</v>
      </c>
      <c r="H427">
        <v>2383</v>
      </c>
      <c r="I427" t="s">
        <v>12</v>
      </c>
      <c r="J427" s="21">
        <f ca="1">DATE(Table2[[#This Row],[Year]],MONTH(1 &amp; Table2[[#This Row],[Month]]),RANDBETWEEN(1,30))</f>
        <v>44899</v>
      </c>
      <c r="L427" s="2">
        <v>2020</v>
      </c>
      <c r="M427" s="2" t="s">
        <v>48</v>
      </c>
      <c r="N427" s="2">
        <v>100091</v>
      </c>
      <c r="O427" s="2">
        <v>621864</v>
      </c>
      <c r="P427" s="2" t="s">
        <v>49</v>
      </c>
    </row>
    <row r="428" spans="1:16">
      <c r="A428">
        <v>2022</v>
      </c>
      <c r="B428" t="s">
        <v>41</v>
      </c>
      <c r="C428" t="s">
        <v>23</v>
      </c>
      <c r="D428" t="s">
        <v>11</v>
      </c>
      <c r="E428">
        <v>370</v>
      </c>
      <c r="F428">
        <v>2482</v>
      </c>
      <c r="G428">
        <v>11471</v>
      </c>
      <c r="H428">
        <v>2043</v>
      </c>
      <c r="I428" t="s">
        <v>18</v>
      </c>
      <c r="J428" s="21">
        <f ca="1">DATE(Table2[[#This Row],[Year]],MONTH(1 &amp; Table2[[#This Row],[Month]]),RANDBETWEEN(1,30))</f>
        <v>44924</v>
      </c>
      <c r="L428" s="2">
        <v>2021</v>
      </c>
      <c r="M428" s="2" t="s">
        <v>57</v>
      </c>
      <c r="N428" s="2">
        <v>466001</v>
      </c>
      <c r="O428" s="2">
        <v>419022</v>
      </c>
      <c r="P428" s="2" t="s">
        <v>59</v>
      </c>
    </row>
    <row r="429" spans="1:16">
      <c r="A429">
        <v>2022</v>
      </c>
      <c r="B429" t="s">
        <v>41</v>
      </c>
      <c r="C429" t="s">
        <v>10</v>
      </c>
      <c r="D429" t="s">
        <v>20</v>
      </c>
      <c r="E429">
        <v>199</v>
      </c>
      <c r="F429">
        <v>7835</v>
      </c>
      <c r="G429">
        <v>2546</v>
      </c>
      <c r="H429">
        <v>2915</v>
      </c>
      <c r="I429" t="s">
        <v>28</v>
      </c>
      <c r="J429" s="21">
        <f ca="1">DATE(Table2[[#This Row],[Year]],MONTH(1 &amp; Table2[[#This Row],[Month]]),RANDBETWEEN(1,30))</f>
        <v>44925</v>
      </c>
      <c r="L429" s="2">
        <v>2021</v>
      </c>
      <c r="M429" s="2" t="s">
        <v>56</v>
      </c>
      <c r="N429" s="2">
        <v>437552</v>
      </c>
      <c r="O429" s="2">
        <v>371198</v>
      </c>
      <c r="P429" s="2" t="s">
        <v>49</v>
      </c>
    </row>
    <row r="430" spans="1:16">
      <c r="A430">
        <v>2022</v>
      </c>
      <c r="B430" t="s">
        <v>41</v>
      </c>
      <c r="C430" t="s">
        <v>15</v>
      </c>
      <c r="D430" t="s">
        <v>23</v>
      </c>
      <c r="E430">
        <v>334</v>
      </c>
      <c r="F430">
        <v>9031</v>
      </c>
      <c r="G430">
        <v>9429</v>
      </c>
      <c r="H430">
        <v>2936</v>
      </c>
      <c r="I430" t="s">
        <v>28</v>
      </c>
      <c r="J430" s="21">
        <f ca="1">DATE(Table2[[#This Row],[Year]],MONTH(1 &amp; Table2[[#This Row],[Month]]),RANDBETWEEN(1,30))</f>
        <v>44920</v>
      </c>
      <c r="L430" s="2">
        <v>2023</v>
      </c>
      <c r="M430" s="2" t="s">
        <v>56</v>
      </c>
      <c r="N430" s="2">
        <v>396917</v>
      </c>
      <c r="O430" s="2">
        <v>473238</v>
      </c>
      <c r="P430" s="2" t="s">
        <v>53</v>
      </c>
    </row>
    <row r="431" spans="1:16">
      <c r="A431">
        <v>2022</v>
      </c>
      <c r="B431" t="s">
        <v>41</v>
      </c>
      <c r="C431" t="s">
        <v>10</v>
      </c>
      <c r="D431" t="s">
        <v>22</v>
      </c>
      <c r="E431">
        <v>1254</v>
      </c>
      <c r="F431">
        <v>4470</v>
      </c>
      <c r="G431">
        <v>11082</v>
      </c>
      <c r="H431">
        <v>359</v>
      </c>
      <c r="I431" t="s">
        <v>12</v>
      </c>
      <c r="J431" s="21">
        <f ca="1">DATE(Table2[[#This Row],[Year]],MONTH(1 &amp; Table2[[#This Row],[Month]]),RANDBETWEEN(1,30))</f>
        <v>44897</v>
      </c>
      <c r="L431" s="2">
        <v>2024</v>
      </c>
      <c r="M431" s="2" t="s">
        <v>57</v>
      </c>
      <c r="N431" s="2">
        <v>167126</v>
      </c>
      <c r="O431" s="2">
        <v>245677</v>
      </c>
      <c r="P431" s="2" t="s">
        <v>53</v>
      </c>
    </row>
    <row r="432" spans="1:16">
      <c r="A432">
        <v>2022</v>
      </c>
      <c r="B432" t="s">
        <v>41</v>
      </c>
      <c r="C432" t="s">
        <v>29</v>
      </c>
      <c r="D432" t="s">
        <v>22</v>
      </c>
      <c r="E432">
        <v>2168</v>
      </c>
      <c r="F432">
        <v>9970</v>
      </c>
      <c r="G432">
        <v>8870</v>
      </c>
      <c r="H432">
        <v>2326</v>
      </c>
      <c r="I432" t="s">
        <v>28</v>
      </c>
      <c r="J432" s="21">
        <f ca="1">DATE(Table2[[#This Row],[Year]],MONTH(1 &amp; Table2[[#This Row],[Month]]),RANDBETWEEN(1,30))</f>
        <v>44902</v>
      </c>
      <c r="L432" s="2">
        <v>2025</v>
      </c>
      <c r="M432" s="2" t="s">
        <v>48</v>
      </c>
      <c r="N432" s="2">
        <v>148145</v>
      </c>
      <c r="O432" s="2">
        <v>578323</v>
      </c>
      <c r="P432" s="2" t="s">
        <v>59</v>
      </c>
    </row>
    <row r="433" spans="1:16">
      <c r="A433">
        <v>2022</v>
      </c>
      <c r="B433" t="s">
        <v>41</v>
      </c>
      <c r="C433" t="s">
        <v>15</v>
      </c>
      <c r="D433" t="s">
        <v>34</v>
      </c>
      <c r="E433">
        <v>3295</v>
      </c>
      <c r="F433">
        <v>3784</v>
      </c>
      <c r="G433">
        <v>2191</v>
      </c>
      <c r="H433">
        <v>2721</v>
      </c>
      <c r="I433" t="s">
        <v>28</v>
      </c>
      <c r="J433" s="21">
        <f ca="1">DATE(Table2[[#This Row],[Year]],MONTH(1 &amp; Table2[[#This Row],[Month]]),RANDBETWEEN(1,30))</f>
        <v>44902</v>
      </c>
      <c r="L433" s="2">
        <v>2022</v>
      </c>
      <c r="M433" s="2" t="s">
        <v>48</v>
      </c>
      <c r="N433" s="2">
        <v>127042</v>
      </c>
      <c r="O433" s="2">
        <v>491218</v>
      </c>
      <c r="P433" s="2" t="s">
        <v>59</v>
      </c>
    </row>
    <row r="434" spans="1:16">
      <c r="A434">
        <v>2022</v>
      </c>
      <c r="B434" t="s">
        <v>41</v>
      </c>
      <c r="C434" t="s">
        <v>21</v>
      </c>
      <c r="D434" t="s">
        <v>26</v>
      </c>
      <c r="E434">
        <v>1389</v>
      </c>
      <c r="F434">
        <v>7194</v>
      </c>
      <c r="G434">
        <v>9227</v>
      </c>
      <c r="H434">
        <v>495</v>
      </c>
      <c r="I434" t="s">
        <v>12</v>
      </c>
      <c r="J434" s="21">
        <f ca="1">DATE(Table2[[#This Row],[Year]],MONTH(1 &amp; Table2[[#This Row],[Month]]),RANDBETWEEN(1,30))</f>
        <v>44920</v>
      </c>
      <c r="L434" s="2">
        <v>2024</v>
      </c>
      <c r="M434" s="2" t="s">
        <v>60</v>
      </c>
      <c r="N434" s="2">
        <v>389612</v>
      </c>
      <c r="O434" s="2">
        <v>293295</v>
      </c>
      <c r="P434" s="2" t="s">
        <v>53</v>
      </c>
    </row>
    <row r="435" spans="1:16">
      <c r="A435">
        <v>2022</v>
      </c>
      <c r="B435" t="s">
        <v>41</v>
      </c>
      <c r="C435" t="s">
        <v>29</v>
      </c>
      <c r="D435" t="s">
        <v>39</v>
      </c>
      <c r="E435">
        <v>2551</v>
      </c>
      <c r="F435">
        <v>5384</v>
      </c>
      <c r="G435">
        <v>8826</v>
      </c>
      <c r="H435">
        <v>346</v>
      </c>
      <c r="I435" t="s">
        <v>12</v>
      </c>
      <c r="J435" s="21">
        <f ca="1">DATE(Table2[[#This Row],[Year]],MONTH(1 &amp; Table2[[#This Row],[Month]]),RANDBETWEEN(1,30))</f>
        <v>44920</v>
      </c>
      <c r="L435" s="2">
        <v>2022</v>
      </c>
      <c r="M435" s="2" t="s">
        <v>51</v>
      </c>
      <c r="N435" s="2">
        <v>471523</v>
      </c>
      <c r="O435" s="2">
        <v>294116</v>
      </c>
      <c r="P435" s="2" t="s">
        <v>59</v>
      </c>
    </row>
    <row r="436" spans="1:16">
      <c r="A436">
        <v>2023</v>
      </c>
      <c r="B436" t="s">
        <v>9</v>
      </c>
      <c r="C436" t="s">
        <v>10</v>
      </c>
      <c r="D436" t="s">
        <v>38</v>
      </c>
      <c r="E436">
        <v>297</v>
      </c>
      <c r="F436">
        <v>1988</v>
      </c>
      <c r="G436">
        <v>4120</v>
      </c>
      <c r="H436">
        <v>430</v>
      </c>
      <c r="I436" t="s">
        <v>18</v>
      </c>
      <c r="J436" s="21">
        <f ca="1">DATE(Table2[[#This Row],[Year]],MONTH(1 &amp; Table2[[#This Row],[Month]]),RANDBETWEEN(1,30))</f>
        <v>44939</v>
      </c>
      <c r="L436" s="2">
        <v>2022</v>
      </c>
      <c r="M436" s="2" t="s">
        <v>55</v>
      </c>
      <c r="N436" s="2">
        <v>272214</v>
      </c>
      <c r="O436" s="2">
        <v>292124</v>
      </c>
      <c r="P436" s="2" t="s">
        <v>50</v>
      </c>
    </row>
    <row r="437" spans="1:16">
      <c r="A437">
        <v>2023</v>
      </c>
      <c r="B437" t="s">
        <v>9</v>
      </c>
      <c r="C437" t="s">
        <v>25</v>
      </c>
      <c r="D437" t="s">
        <v>23</v>
      </c>
      <c r="E437">
        <v>3522</v>
      </c>
      <c r="F437">
        <v>1728</v>
      </c>
      <c r="G437">
        <v>11790</v>
      </c>
      <c r="H437">
        <v>2891</v>
      </c>
      <c r="I437" t="s">
        <v>18</v>
      </c>
      <c r="J437" s="21">
        <f ca="1">DATE(Table2[[#This Row],[Year]],MONTH(1 &amp; Table2[[#This Row],[Month]]),RANDBETWEEN(1,30))</f>
        <v>44938</v>
      </c>
      <c r="L437" s="2">
        <v>2023</v>
      </c>
      <c r="M437" s="2" t="s">
        <v>61</v>
      </c>
      <c r="N437" s="2">
        <v>147656</v>
      </c>
      <c r="O437" s="2">
        <v>228501</v>
      </c>
      <c r="P437" s="2" t="s">
        <v>50</v>
      </c>
    </row>
    <row r="438" spans="1:16">
      <c r="A438">
        <v>2023</v>
      </c>
      <c r="B438" t="s">
        <v>9</v>
      </c>
      <c r="C438" t="s">
        <v>23</v>
      </c>
      <c r="D438" t="s">
        <v>42</v>
      </c>
      <c r="E438">
        <v>696</v>
      </c>
      <c r="F438">
        <v>8863</v>
      </c>
      <c r="G438">
        <v>3172</v>
      </c>
      <c r="H438">
        <v>1198</v>
      </c>
      <c r="I438" t="s">
        <v>18</v>
      </c>
      <c r="J438" s="21">
        <f ca="1">DATE(Table2[[#This Row],[Year]],MONTH(1 &amp; Table2[[#This Row],[Month]]),RANDBETWEEN(1,30))</f>
        <v>44949</v>
      </c>
      <c r="L438" s="2">
        <v>2025</v>
      </c>
      <c r="M438" s="2" t="s">
        <v>48</v>
      </c>
      <c r="N438" s="2">
        <v>304957</v>
      </c>
      <c r="O438" s="2">
        <v>493899</v>
      </c>
      <c r="P438" s="2" t="s">
        <v>53</v>
      </c>
    </row>
    <row r="439" spans="1:16">
      <c r="A439">
        <v>2023</v>
      </c>
      <c r="B439" t="s">
        <v>9</v>
      </c>
      <c r="C439" t="s">
        <v>25</v>
      </c>
      <c r="D439" t="s">
        <v>35</v>
      </c>
      <c r="E439">
        <v>1612</v>
      </c>
      <c r="F439">
        <v>9668</v>
      </c>
      <c r="G439">
        <v>4843</v>
      </c>
      <c r="H439">
        <v>751</v>
      </c>
      <c r="I439" t="s">
        <v>12</v>
      </c>
      <c r="J439" s="21">
        <f ca="1">DATE(Table2[[#This Row],[Year]],MONTH(1 &amp; Table2[[#This Row],[Month]]),RANDBETWEEN(1,30))</f>
        <v>44951</v>
      </c>
      <c r="L439" s="2">
        <v>2025</v>
      </c>
      <c r="M439" s="2" t="s">
        <v>60</v>
      </c>
      <c r="N439" s="2">
        <v>239533</v>
      </c>
      <c r="O439" s="2">
        <v>620174</v>
      </c>
      <c r="P439" s="2" t="s">
        <v>50</v>
      </c>
    </row>
    <row r="440" spans="1:16">
      <c r="A440">
        <v>2023</v>
      </c>
      <c r="B440" t="s">
        <v>9</v>
      </c>
      <c r="C440" t="s">
        <v>25</v>
      </c>
      <c r="D440" t="s">
        <v>38</v>
      </c>
      <c r="E440">
        <v>3093</v>
      </c>
      <c r="F440">
        <v>6464</v>
      </c>
      <c r="G440">
        <v>2562</v>
      </c>
      <c r="H440">
        <v>2624</v>
      </c>
      <c r="I440" t="s">
        <v>18</v>
      </c>
      <c r="J440" s="21">
        <f ca="1">DATE(Table2[[#This Row],[Year]],MONTH(1 &amp; Table2[[#This Row],[Month]]),RANDBETWEEN(1,30))</f>
        <v>44948</v>
      </c>
      <c r="L440" s="2">
        <v>2020</v>
      </c>
      <c r="M440" s="2" t="s">
        <v>54</v>
      </c>
      <c r="N440" s="2">
        <v>249930</v>
      </c>
      <c r="O440" s="2">
        <v>208749</v>
      </c>
      <c r="P440" s="2" t="s">
        <v>59</v>
      </c>
    </row>
    <row r="441" spans="1:16">
      <c r="A441">
        <v>2023</v>
      </c>
      <c r="B441" t="s">
        <v>9</v>
      </c>
      <c r="C441" t="s">
        <v>15</v>
      </c>
      <c r="D441" t="s">
        <v>30</v>
      </c>
      <c r="E441">
        <v>2440</v>
      </c>
      <c r="F441">
        <v>4550</v>
      </c>
      <c r="G441">
        <v>5156</v>
      </c>
      <c r="H441">
        <v>2614</v>
      </c>
      <c r="I441" t="s">
        <v>18</v>
      </c>
      <c r="J441" s="21">
        <f ca="1">DATE(Table2[[#This Row],[Year]],MONTH(1 &amp; Table2[[#This Row],[Month]]),RANDBETWEEN(1,30))</f>
        <v>44950</v>
      </c>
      <c r="L441" s="2">
        <v>2023</v>
      </c>
      <c r="M441" s="2" t="s">
        <v>61</v>
      </c>
      <c r="N441" s="2">
        <v>348532</v>
      </c>
      <c r="O441" s="2">
        <v>224502</v>
      </c>
      <c r="P441" s="2" t="s">
        <v>59</v>
      </c>
    </row>
    <row r="442" spans="1:16">
      <c r="A442">
        <v>2023</v>
      </c>
      <c r="B442" t="s">
        <v>9</v>
      </c>
      <c r="C442" t="s">
        <v>15</v>
      </c>
      <c r="D442" t="s">
        <v>30</v>
      </c>
      <c r="E442">
        <v>2337</v>
      </c>
      <c r="F442">
        <v>4131</v>
      </c>
      <c r="G442">
        <v>2770</v>
      </c>
      <c r="H442">
        <v>1375</v>
      </c>
      <c r="I442" t="s">
        <v>18</v>
      </c>
      <c r="J442" s="21">
        <f ca="1">DATE(Table2[[#This Row],[Year]],MONTH(1 &amp; Table2[[#This Row],[Month]]),RANDBETWEEN(1,30))</f>
        <v>44941</v>
      </c>
      <c r="L442" s="2">
        <v>2020</v>
      </c>
      <c r="M442" s="2" t="s">
        <v>48</v>
      </c>
      <c r="N442" s="2">
        <v>387487</v>
      </c>
      <c r="O442" s="2">
        <v>486385</v>
      </c>
      <c r="P442" s="2" t="s">
        <v>50</v>
      </c>
    </row>
    <row r="443" spans="1:16">
      <c r="A443">
        <v>2023</v>
      </c>
      <c r="B443" t="s">
        <v>9</v>
      </c>
      <c r="C443" t="s">
        <v>21</v>
      </c>
      <c r="D443" t="s">
        <v>23</v>
      </c>
      <c r="E443">
        <v>3962</v>
      </c>
      <c r="F443">
        <v>7324</v>
      </c>
      <c r="G443">
        <v>3054</v>
      </c>
      <c r="H443">
        <v>2942</v>
      </c>
      <c r="I443" t="s">
        <v>18</v>
      </c>
      <c r="J443" s="21">
        <f ca="1">DATE(Table2[[#This Row],[Year]],MONTH(1 &amp; Table2[[#This Row],[Month]]),RANDBETWEEN(1,30))</f>
        <v>44941</v>
      </c>
      <c r="L443" s="2">
        <v>2023</v>
      </c>
      <c r="M443" s="2" t="s">
        <v>60</v>
      </c>
      <c r="N443" s="2">
        <v>144241</v>
      </c>
      <c r="O443" s="2">
        <v>609748</v>
      </c>
      <c r="P443" s="2" t="s">
        <v>53</v>
      </c>
    </row>
    <row r="444" spans="1:16">
      <c r="A444">
        <v>2023</v>
      </c>
      <c r="B444" t="s">
        <v>9</v>
      </c>
      <c r="C444" t="s">
        <v>23</v>
      </c>
      <c r="D444" t="s">
        <v>16</v>
      </c>
      <c r="E444">
        <v>1396</v>
      </c>
      <c r="F444">
        <v>6535</v>
      </c>
      <c r="G444">
        <v>9804</v>
      </c>
      <c r="H444">
        <v>811</v>
      </c>
      <c r="I444" t="s">
        <v>18</v>
      </c>
      <c r="J444" s="21">
        <f ca="1">DATE(Table2[[#This Row],[Year]],MONTH(1 &amp; Table2[[#This Row],[Month]]),RANDBETWEEN(1,30))</f>
        <v>44927</v>
      </c>
      <c r="L444" s="2">
        <v>2023</v>
      </c>
      <c r="M444" s="2" t="s">
        <v>48</v>
      </c>
      <c r="N444" s="2">
        <v>114236</v>
      </c>
      <c r="O444" s="2">
        <v>363369</v>
      </c>
      <c r="P444" s="2" t="s">
        <v>53</v>
      </c>
    </row>
    <row r="445" spans="1:16">
      <c r="A445">
        <v>2023</v>
      </c>
      <c r="B445" t="s">
        <v>9</v>
      </c>
      <c r="C445" t="s">
        <v>15</v>
      </c>
      <c r="D445" t="s">
        <v>35</v>
      </c>
      <c r="E445">
        <v>3884</v>
      </c>
      <c r="F445">
        <v>2822</v>
      </c>
      <c r="G445">
        <v>11773</v>
      </c>
      <c r="H445">
        <v>2678</v>
      </c>
      <c r="I445" t="s">
        <v>12</v>
      </c>
      <c r="J445" s="21">
        <f ca="1">DATE(Table2[[#This Row],[Year]],MONTH(1 &amp; Table2[[#This Row],[Month]]),RANDBETWEEN(1,30))</f>
        <v>44944</v>
      </c>
      <c r="L445" s="2">
        <v>2024</v>
      </c>
      <c r="M445" s="2" t="s">
        <v>55</v>
      </c>
      <c r="N445" s="2">
        <v>497732</v>
      </c>
      <c r="O445" s="2">
        <v>374807</v>
      </c>
      <c r="P445" s="2" t="s">
        <v>59</v>
      </c>
    </row>
    <row r="446" spans="1:16">
      <c r="A446">
        <v>2023</v>
      </c>
      <c r="B446" t="s">
        <v>9</v>
      </c>
      <c r="C446" t="s">
        <v>25</v>
      </c>
      <c r="D446" t="s">
        <v>39</v>
      </c>
      <c r="E446">
        <v>1983</v>
      </c>
      <c r="F446">
        <v>1751</v>
      </c>
      <c r="G446">
        <v>2684</v>
      </c>
      <c r="H446">
        <v>2079</v>
      </c>
      <c r="I446" t="s">
        <v>18</v>
      </c>
      <c r="J446" s="21">
        <f ca="1">DATE(Table2[[#This Row],[Year]],MONTH(1 &amp; Table2[[#This Row],[Month]]),RANDBETWEEN(1,30))</f>
        <v>44952</v>
      </c>
      <c r="L446" s="2">
        <v>2024</v>
      </c>
      <c r="M446" s="2" t="s">
        <v>61</v>
      </c>
      <c r="N446" s="2">
        <v>193091</v>
      </c>
      <c r="O446" s="2">
        <v>498173</v>
      </c>
      <c r="P446" s="2" t="s">
        <v>53</v>
      </c>
    </row>
    <row r="447" spans="1:16">
      <c r="A447">
        <v>2023</v>
      </c>
      <c r="B447" t="s">
        <v>9</v>
      </c>
      <c r="C447" t="s">
        <v>21</v>
      </c>
      <c r="D447" t="s">
        <v>17</v>
      </c>
      <c r="E447">
        <v>2135</v>
      </c>
      <c r="F447">
        <v>8224</v>
      </c>
      <c r="G447">
        <v>10550</v>
      </c>
      <c r="H447">
        <v>1115</v>
      </c>
      <c r="I447" t="s">
        <v>28</v>
      </c>
      <c r="J447" s="21">
        <f ca="1">DATE(Table2[[#This Row],[Year]],MONTH(1 &amp; Table2[[#This Row],[Month]]),RANDBETWEEN(1,30))</f>
        <v>44939</v>
      </c>
      <c r="L447" s="2">
        <v>2020</v>
      </c>
      <c r="M447" s="2" t="s">
        <v>61</v>
      </c>
      <c r="N447" s="2">
        <v>121532</v>
      </c>
      <c r="O447" s="2">
        <v>337106</v>
      </c>
      <c r="P447" s="2" t="s">
        <v>53</v>
      </c>
    </row>
    <row r="448" spans="1:16">
      <c r="A448">
        <v>2023</v>
      </c>
      <c r="B448" t="s">
        <v>9</v>
      </c>
      <c r="C448" t="s">
        <v>10</v>
      </c>
      <c r="D448" t="s">
        <v>11</v>
      </c>
      <c r="E448">
        <v>242</v>
      </c>
      <c r="F448">
        <v>2727</v>
      </c>
      <c r="G448">
        <v>10275</v>
      </c>
      <c r="H448">
        <v>388</v>
      </c>
      <c r="I448" t="s">
        <v>12</v>
      </c>
      <c r="J448" s="21">
        <f ca="1">DATE(Table2[[#This Row],[Year]],MONTH(1 &amp; Table2[[#This Row],[Month]]),RANDBETWEEN(1,30))</f>
        <v>44947</v>
      </c>
      <c r="L448" s="2">
        <v>2021</v>
      </c>
      <c r="M448" s="2" t="s">
        <v>51</v>
      </c>
      <c r="N448" s="2">
        <v>175950</v>
      </c>
      <c r="O448" s="2">
        <v>213304</v>
      </c>
      <c r="P448" s="2" t="s">
        <v>53</v>
      </c>
    </row>
    <row r="449" spans="1:16">
      <c r="A449">
        <v>2023</v>
      </c>
      <c r="B449" t="s">
        <v>19</v>
      </c>
      <c r="C449" t="s">
        <v>15</v>
      </c>
      <c r="D449" t="s">
        <v>39</v>
      </c>
      <c r="E449">
        <v>2611</v>
      </c>
      <c r="F449">
        <v>8663</v>
      </c>
      <c r="G449">
        <v>4953</v>
      </c>
      <c r="H449">
        <v>2174</v>
      </c>
      <c r="I449" t="s">
        <v>28</v>
      </c>
      <c r="J449" s="21">
        <f ca="1">DATE(Table2[[#This Row],[Year]],MONTH(1 &amp; Table2[[#This Row],[Month]]),RANDBETWEEN(1,30))</f>
        <v>44959</v>
      </c>
      <c r="L449" s="2">
        <v>2024</v>
      </c>
      <c r="M449" s="2" t="s">
        <v>60</v>
      </c>
      <c r="N449" s="2">
        <v>115583</v>
      </c>
      <c r="O449" s="2">
        <v>567614</v>
      </c>
      <c r="P449" s="2" t="s">
        <v>59</v>
      </c>
    </row>
    <row r="450" spans="1:16">
      <c r="A450">
        <v>2023</v>
      </c>
      <c r="B450" t="s">
        <v>19</v>
      </c>
      <c r="C450" t="s">
        <v>25</v>
      </c>
      <c r="D450" t="s">
        <v>26</v>
      </c>
      <c r="E450">
        <v>3400</v>
      </c>
      <c r="F450">
        <v>7692</v>
      </c>
      <c r="G450">
        <v>8642</v>
      </c>
      <c r="H450">
        <v>1401</v>
      </c>
      <c r="I450" t="s">
        <v>18</v>
      </c>
      <c r="J450" s="21">
        <f ca="1">DATE(Table2[[#This Row],[Year]],MONTH(1 &amp; Table2[[#This Row],[Month]]),RANDBETWEEN(1,30))</f>
        <v>44960</v>
      </c>
      <c r="L450" s="2">
        <v>2022</v>
      </c>
      <c r="M450" s="2" t="s">
        <v>57</v>
      </c>
      <c r="N450" s="2">
        <v>256724</v>
      </c>
      <c r="O450" s="2">
        <v>512825</v>
      </c>
      <c r="P450" s="2" t="s">
        <v>49</v>
      </c>
    </row>
    <row r="451" spans="1:16">
      <c r="A451">
        <v>2023</v>
      </c>
      <c r="B451" t="s">
        <v>19</v>
      </c>
      <c r="C451" t="s">
        <v>15</v>
      </c>
      <c r="D451" t="s">
        <v>35</v>
      </c>
      <c r="E451">
        <v>1490</v>
      </c>
      <c r="F451">
        <v>9748</v>
      </c>
      <c r="G451">
        <v>7445</v>
      </c>
      <c r="H451">
        <v>1277</v>
      </c>
      <c r="I451" t="s">
        <v>18</v>
      </c>
      <c r="J451" s="21">
        <f ca="1">DATE(Table2[[#This Row],[Year]],MONTH(1 &amp; Table2[[#This Row],[Month]]),RANDBETWEEN(1,30))</f>
        <v>44964</v>
      </c>
      <c r="L451" s="2">
        <v>2025</v>
      </c>
      <c r="M451" s="2" t="s">
        <v>57</v>
      </c>
      <c r="N451" s="2">
        <v>420961</v>
      </c>
      <c r="O451" s="2">
        <v>490378</v>
      </c>
      <c r="P451" s="2" t="s">
        <v>49</v>
      </c>
    </row>
    <row r="452" spans="1:16">
      <c r="A452">
        <v>2023</v>
      </c>
      <c r="B452" t="s">
        <v>19</v>
      </c>
      <c r="C452" t="s">
        <v>23</v>
      </c>
      <c r="D452" t="s">
        <v>42</v>
      </c>
      <c r="E452">
        <v>3009</v>
      </c>
      <c r="F452">
        <v>8724</v>
      </c>
      <c r="G452">
        <v>7187</v>
      </c>
      <c r="H452">
        <v>1371</v>
      </c>
      <c r="I452" t="s">
        <v>18</v>
      </c>
      <c r="J452" s="21">
        <f ca="1">DATE(Table2[[#This Row],[Year]],MONTH(1 &amp; Table2[[#This Row],[Month]]),RANDBETWEEN(1,30))</f>
        <v>44958</v>
      </c>
      <c r="L452" s="2">
        <v>2021</v>
      </c>
      <c r="M452" s="2" t="s">
        <v>56</v>
      </c>
      <c r="N452" s="2">
        <v>236498</v>
      </c>
      <c r="O452" s="2">
        <v>570842</v>
      </c>
      <c r="P452" s="2" t="s">
        <v>53</v>
      </c>
    </row>
    <row r="453" spans="1:16">
      <c r="A453">
        <v>2023</v>
      </c>
      <c r="B453" t="s">
        <v>19</v>
      </c>
      <c r="C453" t="s">
        <v>23</v>
      </c>
      <c r="D453" t="s">
        <v>22</v>
      </c>
      <c r="E453">
        <v>503</v>
      </c>
      <c r="F453">
        <v>4911</v>
      </c>
      <c r="G453">
        <v>4924</v>
      </c>
      <c r="H453">
        <v>2977</v>
      </c>
      <c r="I453" t="s">
        <v>18</v>
      </c>
      <c r="J453" s="21">
        <f ca="1">DATE(Table2[[#This Row],[Year]],MONTH(1 &amp; Table2[[#This Row],[Month]]),RANDBETWEEN(1,30))</f>
        <v>44964</v>
      </c>
      <c r="L453" s="2">
        <v>2022</v>
      </c>
      <c r="M453" s="2" t="s">
        <v>54</v>
      </c>
      <c r="N453" s="2">
        <v>277673</v>
      </c>
      <c r="O453" s="2">
        <v>537615</v>
      </c>
      <c r="P453" s="2" t="s">
        <v>49</v>
      </c>
    </row>
    <row r="454" spans="1:16">
      <c r="A454">
        <v>2023</v>
      </c>
      <c r="B454" t="s">
        <v>19</v>
      </c>
      <c r="C454" t="s">
        <v>15</v>
      </c>
      <c r="D454" t="s">
        <v>16</v>
      </c>
      <c r="E454">
        <v>3780</v>
      </c>
      <c r="F454">
        <v>7761</v>
      </c>
      <c r="G454">
        <v>6158</v>
      </c>
      <c r="H454">
        <v>1160</v>
      </c>
      <c r="I454" t="s">
        <v>18</v>
      </c>
      <c r="J454" s="21">
        <f ca="1">DATE(Table2[[#This Row],[Year]],MONTH(1 &amp; Table2[[#This Row],[Month]]),RANDBETWEEN(1,30))</f>
        <v>44962</v>
      </c>
      <c r="L454" s="2">
        <v>2020</v>
      </c>
      <c r="M454" s="2" t="s">
        <v>57</v>
      </c>
      <c r="N454" s="2">
        <v>370235</v>
      </c>
      <c r="O454" s="2">
        <v>302941</v>
      </c>
      <c r="P454" s="2" t="s">
        <v>53</v>
      </c>
    </row>
    <row r="455" spans="1:16">
      <c r="A455">
        <v>2023</v>
      </c>
      <c r="B455" t="s">
        <v>19</v>
      </c>
      <c r="C455" t="s">
        <v>21</v>
      </c>
      <c r="D455" t="s">
        <v>39</v>
      </c>
      <c r="E455">
        <v>1934</v>
      </c>
      <c r="F455">
        <v>2025</v>
      </c>
      <c r="G455">
        <v>6392</v>
      </c>
      <c r="H455">
        <v>2693</v>
      </c>
      <c r="I455" t="s">
        <v>28</v>
      </c>
      <c r="J455" s="21">
        <f ca="1">DATE(Table2[[#This Row],[Year]],MONTH(1 &amp; Table2[[#This Row],[Month]]),RANDBETWEEN(1,30))</f>
        <v>44962</v>
      </c>
      <c r="L455" s="2">
        <v>2024</v>
      </c>
      <c r="M455" s="2" t="s">
        <v>52</v>
      </c>
      <c r="N455" s="2">
        <v>303558</v>
      </c>
      <c r="O455" s="2">
        <v>376241</v>
      </c>
      <c r="P455" s="2" t="s">
        <v>59</v>
      </c>
    </row>
    <row r="456" spans="1:16">
      <c r="A456">
        <v>2023</v>
      </c>
      <c r="B456" t="s">
        <v>19</v>
      </c>
      <c r="C456" t="s">
        <v>21</v>
      </c>
      <c r="D456" t="s">
        <v>16</v>
      </c>
      <c r="E456">
        <v>2060</v>
      </c>
      <c r="F456">
        <v>6554</v>
      </c>
      <c r="G456">
        <v>9484</v>
      </c>
      <c r="H456">
        <v>341</v>
      </c>
      <c r="I456" t="s">
        <v>12</v>
      </c>
      <c r="J456" s="21">
        <f ca="1">DATE(Table2[[#This Row],[Year]],MONTH(1 &amp; Table2[[#This Row],[Month]]),RANDBETWEEN(1,30))</f>
        <v>44968</v>
      </c>
      <c r="L456" s="2">
        <v>2020</v>
      </c>
      <c r="M456" s="2" t="s">
        <v>52</v>
      </c>
      <c r="N456" s="2">
        <v>444578</v>
      </c>
      <c r="O456" s="2">
        <v>263055</v>
      </c>
      <c r="P456" s="2" t="s">
        <v>50</v>
      </c>
    </row>
    <row r="457" spans="1:16">
      <c r="A457">
        <v>2023</v>
      </c>
      <c r="B457" t="s">
        <v>19</v>
      </c>
      <c r="C457" t="s">
        <v>29</v>
      </c>
      <c r="D457" t="s">
        <v>20</v>
      </c>
      <c r="E457">
        <v>3126</v>
      </c>
      <c r="F457">
        <v>2675</v>
      </c>
      <c r="G457">
        <v>5316</v>
      </c>
      <c r="H457">
        <v>1319</v>
      </c>
      <c r="I457" t="s">
        <v>12</v>
      </c>
      <c r="J457" s="21">
        <f ca="1">DATE(Table2[[#This Row],[Year]],MONTH(1 &amp; Table2[[#This Row],[Month]]),RANDBETWEEN(1,30))</f>
        <v>44969</v>
      </c>
      <c r="L457" s="2">
        <v>2025</v>
      </c>
      <c r="M457" s="2" t="s">
        <v>54</v>
      </c>
      <c r="N457" s="2">
        <v>446414</v>
      </c>
      <c r="O457" s="2">
        <v>264929</v>
      </c>
      <c r="P457" s="2" t="s">
        <v>59</v>
      </c>
    </row>
    <row r="458" spans="1:16">
      <c r="A458">
        <v>2023</v>
      </c>
      <c r="B458" t="s">
        <v>19</v>
      </c>
      <c r="C458" t="s">
        <v>23</v>
      </c>
      <c r="D458" t="s">
        <v>35</v>
      </c>
      <c r="E458">
        <v>2895</v>
      </c>
      <c r="F458">
        <v>2567</v>
      </c>
      <c r="G458">
        <v>2176</v>
      </c>
      <c r="H458">
        <v>2796</v>
      </c>
      <c r="I458" t="s">
        <v>12</v>
      </c>
      <c r="J458" s="21">
        <f ca="1">DATE(Table2[[#This Row],[Year]],MONTH(1 &amp; Table2[[#This Row],[Month]]),RANDBETWEEN(1,30))</f>
        <v>44965</v>
      </c>
      <c r="L458" s="2">
        <v>2021</v>
      </c>
      <c r="M458" s="2" t="s">
        <v>48</v>
      </c>
      <c r="N458" s="2">
        <v>103964</v>
      </c>
      <c r="O458" s="2">
        <v>538098</v>
      </c>
      <c r="P458" s="2" t="s">
        <v>50</v>
      </c>
    </row>
    <row r="459" spans="1:16">
      <c r="A459">
        <v>2023</v>
      </c>
      <c r="B459" t="s">
        <v>19</v>
      </c>
      <c r="C459" t="s">
        <v>29</v>
      </c>
      <c r="D459" t="s">
        <v>22</v>
      </c>
      <c r="E459">
        <v>937</v>
      </c>
      <c r="F459">
        <v>6019</v>
      </c>
      <c r="G459">
        <v>11078</v>
      </c>
      <c r="H459">
        <v>1150</v>
      </c>
      <c r="I459" t="s">
        <v>18</v>
      </c>
      <c r="J459" s="21">
        <f ca="1">DATE(Table2[[#This Row],[Year]],MONTH(1 &amp; Table2[[#This Row],[Month]]),RANDBETWEEN(1,30))</f>
        <v>44963</v>
      </c>
      <c r="L459" s="2">
        <v>2025</v>
      </c>
      <c r="M459" s="2" t="s">
        <v>51</v>
      </c>
      <c r="N459" s="2">
        <v>411219</v>
      </c>
      <c r="O459" s="2">
        <v>629300</v>
      </c>
      <c r="P459" s="2" t="s">
        <v>59</v>
      </c>
    </row>
    <row r="460" spans="1:16">
      <c r="A460">
        <v>2023</v>
      </c>
      <c r="B460" t="s">
        <v>19</v>
      </c>
      <c r="C460" t="s">
        <v>10</v>
      </c>
      <c r="D460" t="s">
        <v>22</v>
      </c>
      <c r="E460">
        <v>3567</v>
      </c>
      <c r="F460">
        <v>7122</v>
      </c>
      <c r="G460">
        <v>6641</v>
      </c>
      <c r="H460">
        <v>1822</v>
      </c>
      <c r="I460" t="s">
        <v>18</v>
      </c>
      <c r="J460" s="21">
        <f ca="1">DATE(Table2[[#This Row],[Year]],MONTH(1 &amp; Table2[[#This Row],[Month]]),RANDBETWEEN(1,30))</f>
        <v>44959</v>
      </c>
      <c r="L460" s="2">
        <v>2023</v>
      </c>
      <c r="M460" s="2" t="s">
        <v>51</v>
      </c>
      <c r="N460" s="2">
        <v>284293</v>
      </c>
      <c r="O460" s="2">
        <v>681366</v>
      </c>
      <c r="P460" s="2" t="s">
        <v>50</v>
      </c>
    </row>
    <row r="461" spans="1:16">
      <c r="A461">
        <v>2023</v>
      </c>
      <c r="B461" t="s">
        <v>19</v>
      </c>
      <c r="C461" t="s">
        <v>15</v>
      </c>
      <c r="D461" t="s">
        <v>20</v>
      </c>
      <c r="E461">
        <v>898</v>
      </c>
      <c r="F461">
        <v>5048</v>
      </c>
      <c r="G461">
        <v>11731</v>
      </c>
      <c r="H461">
        <v>1407</v>
      </c>
      <c r="I461" t="s">
        <v>28</v>
      </c>
      <c r="J461" s="21">
        <f ca="1">DATE(Table2[[#This Row],[Year]],MONTH(1 &amp; Table2[[#This Row],[Month]]),RANDBETWEEN(1,30))</f>
        <v>44974</v>
      </c>
      <c r="L461" s="2">
        <v>2023</v>
      </c>
      <c r="M461" s="2" t="s">
        <v>60</v>
      </c>
      <c r="N461" s="2">
        <v>495536</v>
      </c>
      <c r="O461" s="2">
        <v>514174</v>
      </c>
      <c r="P461" s="2" t="s">
        <v>50</v>
      </c>
    </row>
    <row r="462" spans="1:16">
      <c r="A462">
        <v>2023</v>
      </c>
      <c r="B462" t="s">
        <v>19</v>
      </c>
      <c r="C462" t="s">
        <v>29</v>
      </c>
      <c r="D462" t="s">
        <v>39</v>
      </c>
      <c r="E462">
        <v>1846</v>
      </c>
      <c r="F462">
        <v>9275</v>
      </c>
      <c r="G462">
        <v>2502</v>
      </c>
      <c r="H462">
        <v>1981</v>
      </c>
      <c r="I462" t="s">
        <v>18</v>
      </c>
      <c r="J462" s="21">
        <f ca="1">DATE(Table2[[#This Row],[Year]],MONTH(1 &amp; Table2[[#This Row],[Month]]),RANDBETWEEN(1,30))</f>
        <v>44972</v>
      </c>
      <c r="L462" s="2">
        <v>2025</v>
      </c>
      <c r="M462" s="2" t="s">
        <v>52</v>
      </c>
      <c r="N462" s="2">
        <v>293293</v>
      </c>
      <c r="O462" s="2">
        <v>292051</v>
      </c>
      <c r="P462" s="2" t="s">
        <v>49</v>
      </c>
    </row>
    <row r="463" spans="1:16">
      <c r="A463">
        <v>2023</v>
      </c>
      <c r="B463" t="s">
        <v>19</v>
      </c>
      <c r="C463" t="s">
        <v>10</v>
      </c>
      <c r="D463" t="s">
        <v>39</v>
      </c>
      <c r="E463">
        <v>1671</v>
      </c>
      <c r="F463">
        <v>2253</v>
      </c>
      <c r="G463">
        <v>11668</v>
      </c>
      <c r="H463">
        <v>1919</v>
      </c>
      <c r="I463" t="s">
        <v>28</v>
      </c>
      <c r="J463" s="21">
        <f ca="1">DATE(Table2[[#This Row],[Year]],MONTH(1 &amp; Table2[[#This Row],[Month]]),RANDBETWEEN(1,30))</f>
        <v>44962</v>
      </c>
      <c r="L463" s="2">
        <v>2024</v>
      </c>
      <c r="M463" s="2" t="s">
        <v>52</v>
      </c>
      <c r="N463" s="2">
        <v>494758</v>
      </c>
      <c r="O463" s="2">
        <v>252825</v>
      </c>
      <c r="P463" s="2" t="s">
        <v>59</v>
      </c>
    </row>
    <row r="464" spans="1:16">
      <c r="A464">
        <v>2023</v>
      </c>
      <c r="B464" t="s">
        <v>19</v>
      </c>
      <c r="C464" t="s">
        <v>25</v>
      </c>
      <c r="D464" t="s">
        <v>20</v>
      </c>
      <c r="E464">
        <v>1918</v>
      </c>
      <c r="F464">
        <v>3942</v>
      </c>
      <c r="G464">
        <v>6769</v>
      </c>
      <c r="H464">
        <v>989</v>
      </c>
      <c r="I464" t="s">
        <v>18</v>
      </c>
      <c r="J464" s="21">
        <f ca="1">DATE(Table2[[#This Row],[Year]],MONTH(1 &amp; Table2[[#This Row],[Month]]),RANDBETWEEN(1,30))</f>
        <v>44961</v>
      </c>
      <c r="L464" s="2">
        <v>2024</v>
      </c>
      <c r="M464" s="2" t="s">
        <v>58</v>
      </c>
      <c r="N464" s="2">
        <v>401828</v>
      </c>
      <c r="O464" s="2">
        <v>606425</v>
      </c>
      <c r="P464" s="2" t="s">
        <v>50</v>
      </c>
    </row>
    <row r="465" spans="1:16">
      <c r="A465">
        <v>2023</v>
      </c>
      <c r="B465" t="s">
        <v>19</v>
      </c>
      <c r="C465" t="s">
        <v>21</v>
      </c>
      <c r="D465" t="s">
        <v>34</v>
      </c>
      <c r="E465">
        <v>164</v>
      </c>
      <c r="F465">
        <v>4479</v>
      </c>
      <c r="G465">
        <v>5253</v>
      </c>
      <c r="H465">
        <v>2742</v>
      </c>
      <c r="I465" t="s">
        <v>28</v>
      </c>
      <c r="J465" s="21">
        <f ca="1">DATE(Table2[[#This Row],[Year]],MONTH(1 &amp; Table2[[#This Row],[Month]]),RANDBETWEEN(1,30))</f>
        <v>44974</v>
      </c>
      <c r="L465" s="2">
        <v>2020</v>
      </c>
      <c r="M465" s="2" t="s">
        <v>54</v>
      </c>
      <c r="N465" s="2">
        <v>199442</v>
      </c>
      <c r="O465" s="2">
        <v>489378</v>
      </c>
      <c r="P465" s="2" t="s">
        <v>53</v>
      </c>
    </row>
    <row r="466" spans="1:16">
      <c r="A466">
        <v>2023</v>
      </c>
      <c r="B466" t="s">
        <v>19</v>
      </c>
      <c r="C466" t="s">
        <v>25</v>
      </c>
      <c r="D466" t="s">
        <v>43</v>
      </c>
      <c r="E466">
        <v>2994</v>
      </c>
      <c r="F466">
        <v>8860</v>
      </c>
      <c r="G466">
        <v>10436</v>
      </c>
      <c r="H466">
        <v>551</v>
      </c>
      <c r="I466" t="s">
        <v>28</v>
      </c>
      <c r="J466" s="21">
        <f ca="1">DATE(Table2[[#This Row],[Year]],MONTH(1 &amp; Table2[[#This Row],[Month]]),RANDBETWEEN(1,30))</f>
        <v>44963</v>
      </c>
      <c r="L466" s="2">
        <v>2021</v>
      </c>
      <c r="M466" s="2" t="s">
        <v>57</v>
      </c>
      <c r="N466" s="2">
        <v>315358</v>
      </c>
      <c r="O466" s="2">
        <v>509143</v>
      </c>
      <c r="P466" s="2" t="s">
        <v>53</v>
      </c>
    </row>
    <row r="467" spans="1:16">
      <c r="A467">
        <v>2023</v>
      </c>
      <c r="B467" t="s">
        <v>36</v>
      </c>
      <c r="C467" t="s">
        <v>25</v>
      </c>
      <c r="D467" t="s">
        <v>38</v>
      </c>
      <c r="E467">
        <v>1242</v>
      </c>
      <c r="F467">
        <v>9959</v>
      </c>
      <c r="G467">
        <v>7383</v>
      </c>
      <c r="H467">
        <v>1934</v>
      </c>
      <c r="I467" t="s">
        <v>28</v>
      </c>
      <c r="J467" s="21">
        <f ca="1">DATE(Table2[[#This Row],[Year]],MONTH(1 &amp; Table2[[#This Row],[Month]]),RANDBETWEEN(1,30))</f>
        <v>44989</v>
      </c>
      <c r="L467" s="2">
        <v>2023</v>
      </c>
      <c r="M467" s="2" t="s">
        <v>58</v>
      </c>
      <c r="N467" s="2">
        <v>496854</v>
      </c>
      <c r="O467" s="2">
        <v>590731</v>
      </c>
      <c r="P467" s="2" t="s">
        <v>59</v>
      </c>
    </row>
    <row r="468" spans="1:16">
      <c r="A468">
        <v>2023</v>
      </c>
      <c r="B468" t="s">
        <v>36</v>
      </c>
      <c r="C468" t="s">
        <v>15</v>
      </c>
      <c r="D468" t="s">
        <v>35</v>
      </c>
      <c r="E468">
        <v>1254</v>
      </c>
      <c r="F468">
        <v>4906</v>
      </c>
      <c r="G468">
        <v>5586</v>
      </c>
      <c r="H468">
        <v>2677</v>
      </c>
      <c r="I468" t="s">
        <v>12</v>
      </c>
      <c r="J468" s="21">
        <f ca="1">DATE(Table2[[#This Row],[Year]],MONTH(1 &amp; Table2[[#This Row],[Month]]),RANDBETWEEN(1,30))</f>
        <v>45013</v>
      </c>
      <c r="L468" s="2">
        <v>2024</v>
      </c>
      <c r="M468" s="2" t="s">
        <v>56</v>
      </c>
      <c r="N468" s="2">
        <v>443012</v>
      </c>
      <c r="O468" s="2">
        <v>551639</v>
      </c>
      <c r="P468" s="2" t="s">
        <v>59</v>
      </c>
    </row>
    <row r="469" spans="1:16">
      <c r="A469">
        <v>2023</v>
      </c>
      <c r="B469" t="s">
        <v>36</v>
      </c>
      <c r="C469" t="s">
        <v>25</v>
      </c>
      <c r="D469" t="s">
        <v>38</v>
      </c>
      <c r="E469">
        <v>3658</v>
      </c>
      <c r="F469">
        <v>3473</v>
      </c>
      <c r="G469">
        <v>3653</v>
      </c>
      <c r="H469">
        <v>2768</v>
      </c>
      <c r="I469" t="s">
        <v>28</v>
      </c>
      <c r="J469" s="21">
        <f ca="1">DATE(Table2[[#This Row],[Year]],MONTH(1 &amp; Table2[[#This Row],[Month]]),RANDBETWEEN(1,30))</f>
        <v>45000</v>
      </c>
      <c r="L469" s="2">
        <v>2023</v>
      </c>
      <c r="M469" s="2" t="s">
        <v>48</v>
      </c>
      <c r="N469" s="2">
        <v>138947</v>
      </c>
      <c r="O469" s="2">
        <v>617229</v>
      </c>
      <c r="P469" s="2" t="s">
        <v>53</v>
      </c>
    </row>
    <row r="470" spans="1:16">
      <c r="A470">
        <v>2023</v>
      </c>
      <c r="B470" t="s">
        <v>36</v>
      </c>
      <c r="C470" t="s">
        <v>23</v>
      </c>
      <c r="D470" t="s">
        <v>42</v>
      </c>
      <c r="E470">
        <v>315</v>
      </c>
      <c r="F470">
        <v>5663</v>
      </c>
      <c r="G470">
        <v>6194</v>
      </c>
      <c r="H470">
        <v>2252</v>
      </c>
      <c r="I470" t="s">
        <v>12</v>
      </c>
      <c r="J470" s="21">
        <f ca="1">DATE(Table2[[#This Row],[Year]],MONTH(1 &amp; Table2[[#This Row],[Month]]),RANDBETWEEN(1,30))</f>
        <v>44992</v>
      </c>
      <c r="L470" s="2">
        <v>2024</v>
      </c>
      <c r="M470" s="2" t="s">
        <v>55</v>
      </c>
      <c r="N470" s="2">
        <v>382549</v>
      </c>
      <c r="O470" s="2">
        <v>228107</v>
      </c>
      <c r="P470" s="2" t="s">
        <v>50</v>
      </c>
    </row>
    <row r="471" spans="1:16">
      <c r="A471">
        <v>2023</v>
      </c>
      <c r="B471" t="s">
        <v>36</v>
      </c>
      <c r="C471" t="s">
        <v>29</v>
      </c>
      <c r="D471" t="s">
        <v>11</v>
      </c>
      <c r="E471">
        <v>2663</v>
      </c>
      <c r="F471">
        <v>3355</v>
      </c>
      <c r="G471">
        <v>3279</v>
      </c>
      <c r="H471">
        <v>1030</v>
      </c>
      <c r="I471" t="s">
        <v>28</v>
      </c>
      <c r="J471" s="21">
        <f ca="1">DATE(Table2[[#This Row],[Year]],MONTH(1 &amp; Table2[[#This Row],[Month]]),RANDBETWEEN(1,30))</f>
        <v>44995</v>
      </c>
      <c r="L471" s="2">
        <v>2023</v>
      </c>
      <c r="M471" s="2" t="s">
        <v>52</v>
      </c>
      <c r="N471" s="2">
        <v>238232</v>
      </c>
      <c r="O471" s="2">
        <v>573760</v>
      </c>
      <c r="P471" s="2" t="s">
        <v>53</v>
      </c>
    </row>
    <row r="472" spans="1:16">
      <c r="A472">
        <v>2023</v>
      </c>
      <c r="B472" t="s">
        <v>36</v>
      </c>
      <c r="C472" t="s">
        <v>21</v>
      </c>
      <c r="D472" t="s">
        <v>17</v>
      </c>
      <c r="E472">
        <v>2729</v>
      </c>
      <c r="F472">
        <v>8942</v>
      </c>
      <c r="G472">
        <v>9838</v>
      </c>
      <c r="H472">
        <v>2455</v>
      </c>
      <c r="I472" t="s">
        <v>12</v>
      </c>
      <c r="J472" s="21">
        <f ca="1">DATE(Table2[[#This Row],[Year]],MONTH(1 &amp; Table2[[#This Row],[Month]]),RANDBETWEEN(1,30))</f>
        <v>45014</v>
      </c>
      <c r="L472" s="2">
        <v>2023</v>
      </c>
      <c r="M472" s="2" t="s">
        <v>54</v>
      </c>
      <c r="N472" s="2">
        <v>102793</v>
      </c>
      <c r="O472" s="2">
        <v>625426</v>
      </c>
      <c r="P472" s="2" t="s">
        <v>53</v>
      </c>
    </row>
    <row r="473" spans="1:16">
      <c r="A473">
        <v>2023</v>
      </c>
      <c r="B473" t="s">
        <v>36</v>
      </c>
      <c r="C473" t="s">
        <v>29</v>
      </c>
      <c r="D473" t="s">
        <v>16</v>
      </c>
      <c r="E473">
        <v>2175</v>
      </c>
      <c r="F473">
        <v>2201</v>
      </c>
      <c r="G473">
        <v>2690</v>
      </c>
      <c r="H473">
        <v>2443</v>
      </c>
      <c r="I473" t="s">
        <v>12</v>
      </c>
      <c r="J473" s="21">
        <f ca="1">DATE(Table2[[#This Row],[Year]],MONTH(1 &amp; Table2[[#This Row],[Month]]),RANDBETWEEN(1,30))</f>
        <v>45014</v>
      </c>
      <c r="L473" s="2">
        <v>2024</v>
      </c>
      <c r="M473" s="2" t="s">
        <v>58</v>
      </c>
      <c r="N473" s="2">
        <v>261392</v>
      </c>
      <c r="O473" s="2">
        <v>343068</v>
      </c>
      <c r="P473" s="2" t="s">
        <v>50</v>
      </c>
    </row>
    <row r="474" spans="1:16">
      <c r="A474">
        <v>2023</v>
      </c>
      <c r="B474" t="s">
        <v>36</v>
      </c>
      <c r="C474" t="s">
        <v>25</v>
      </c>
      <c r="D474" t="s">
        <v>39</v>
      </c>
      <c r="E474">
        <v>3175</v>
      </c>
      <c r="F474">
        <v>7369</v>
      </c>
      <c r="G474">
        <v>11509</v>
      </c>
      <c r="H474">
        <v>356</v>
      </c>
      <c r="I474" t="s">
        <v>28</v>
      </c>
      <c r="J474" s="21">
        <f ca="1">DATE(Table2[[#This Row],[Year]],MONTH(1 &amp; Table2[[#This Row],[Month]]),RANDBETWEEN(1,30))</f>
        <v>45000</v>
      </c>
      <c r="L474" s="2">
        <v>2022</v>
      </c>
      <c r="M474" s="2" t="s">
        <v>54</v>
      </c>
      <c r="N474" s="2">
        <v>193902</v>
      </c>
      <c r="O474" s="2">
        <v>520224</v>
      </c>
      <c r="P474" s="2" t="s">
        <v>49</v>
      </c>
    </row>
    <row r="475" spans="1:16">
      <c r="A475">
        <v>2023</v>
      </c>
      <c r="B475" t="s">
        <v>36</v>
      </c>
      <c r="C475" t="s">
        <v>23</v>
      </c>
      <c r="D475" t="s">
        <v>30</v>
      </c>
      <c r="E475">
        <v>2628</v>
      </c>
      <c r="F475">
        <v>9398</v>
      </c>
      <c r="G475">
        <v>7060</v>
      </c>
      <c r="H475">
        <v>734</v>
      </c>
      <c r="I475" t="s">
        <v>18</v>
      </c>
      <c r="J475" s="21">
        <f ca="1">DATE(Table2[[#This Row],[Year]],MONTH(1 &amp; Table2[[#This Row],[Month]]),RANDBETWEEN(1,30))</f>
        <v>45012</v>
      </c>
      <c r="L475" s="2">
        <v>2021</v>
      </c>
      <c r="M475" s="2" t="s">
        <v>58</v>
      </c>
      <c r="N475" s="2">
        <v>427548</v>
      </c>
      <c r="O475" s="2">
        <v>357081</v>
      </c>
      <c r="P475" s="2" t="s">
        <v>53</v>
      </c>
    </row>
    <row r="476" spans="1:16">
      <c r="A476">
        <v>2023</v>
      </c>
      <c r="B476" t="s">
        <v>36</v>
      </c>
      <c r="C476" t="s">
        <v>25</v>
      </c>
      <c r="D476" t="s">
        <v>38</v>
      </c>
      <c r="E476">
        <v>781</v>
      </c>
      <c r="F476">
        <v>3220</v>
      </c>
      <c r="G476">
        <v>3969</v>
      </c>
      <c r="H476">
        <v>1285</v>
      </c>
      <c r="I476" t="s">
        <v>12</v>
      </c>
      <c r="J476" s="21">
        <f ca="1">DATE(Table2[[#This Row],[Year]],MONTH(1 &amp; Table2[[#This Row],[Month]]),RANDBETWEEN(1,30))</f>
        <v>44997</v>
      </c>
      <c r="L476" s="2">
        <v>2021</v>
      </c>
      <c r="M476" s="2" t="s">
        <v>58</v>
      </c>
      <c r="N476" s="2">
        <v>234932</v>
      </c>
      <c r="O476" s="2">
        <v>678986</v>
      </c>
      <c r="P476" s="2" t="s">
        <v>53</v>
      </c>
    </row>
    <row r="477" spans="1:16">
      <c r="A477">
        <v>2023</v>
      </c>
      <c r="B477" t="s">
        <v>36</v>
      </c>
      <c r="C477" t="s">
        <v>23</v>
      </c>
      <c r="D477" t="s">
        <v>34</v>
      </c>
      <c r="E477">
        <v>3284</v>
      </c>
      <c r="F477">
        <v>1797</v>
      </c>
      <c r="G477">
        <v>8566</v>
      </c>
      <c r="H477">
        <v>2708</v>
      </c>
      <c r="I477" t="s">
        <v>18</v>
      </c>
      <c r="J477" s="21">
        <f ca="1">DATE(Table2[[#This Row],[Year]],MONTH(1 &amp; Table2[[#This Row],[Month]]),RANDBETWEEN(1,30))</f>
        <v>45012</v>
      </c>
      <c r="L477" s="2">
        <v>2020</v>
      </c>
      <c r="M477" s="2" t="s">
        <v>57</v>
      </c>
      <c r="N477" s="2">
        <v>431009</v>
      </c>
      <c r="O477" s="2">
        <v>216712</v>
      </c>
      <c r="P477" s="2" t="s">
        <v>49</v>
      </c>
    </row>
    <row r="478" spans="1:16">
      <c r="A478">
        <v>2023</v>
      </c>
      <c r="B478" t="s">
        <v>36</v>
      </c>
      <c r="C478" t="s">
        <v>15</v>
      </c>
      <c r="D478" t="s">
        <v>16</v>
      </c>
      <c r="E478">
        <v>1368</v>
      </c>
      <c r="F478">
        <v>5468</v>
      </c>
      <c r="G478">
        <v>6094</v>
      </c>
      <c r="H478">
        <v>1499</v>
      </c>
      <c r="I478" t="s">
        <v>18</v>
      </c>
      <c r="J478" s="21">
        <f ca="1">DATE(Table2[[#This Row],[Year]],MONTH(1 &amp; Table2[[#This Row],[Month]]),RANDBETWEEN(1,30))</f>
        <v>45013</v>
      </c>
      <c r="L478" s="2">
        <v>2021</v>
      </c>
      <c r="M478" s="2" t="s">
        <v>55</v>
      </c>
      <c r="N478" s="2">
        <v>100239</v>
      </c>
      <c r="O478" s="2">
        <v>489896</v>
      </c>
      <c r="P478" s="2" t="s">
        <v>49</v>
      </c>
    </row>
    <row r="479" spans="1:16">
      <c r="A479">
        <v>2023</v>
      </c>
      <c r="B479" t="s">
        <v>36</v>
      </c>
      <c r="C479" t="s">
        <v>23</v>
      </c>
      <c r="D479" t="s">
        <v>35</v>
      </c>
      <c r="E479">
        <v>138</v>
      </c>
      <c r="F479">
        <v>9926</v>
      </c>
      <c r="G479">
        <v>11948</v>
      </c>
      <c r="H479">
        <v>254</v>
      </c>
      <c r="I479" t="s">
        <v>18</v>
      </c>
      <c r="J479" s="21">
        <f ca="1">DATE(Table2[[#This Row],[Year]],MONTH(1 &amp; Table2[[#This Row],[Month]]),RANDBETWEEN(1,30))</f>
        <v>44986</v>
      </c>
      <c r="L479" s="2">
        <v>2024</v>
      </c>
      <c r="M479" s="2" t="s">
        <v>51</v>
      </c>
      <c r="N479" s="2">
        <v>223128</v>
      </c>
      <c r="O479" s="2">
        <v>283252</v>
      </c>
      <c r="P479" s="2" t="s">
        <v>59</v>
      </c>
    </row>
    <row r="480" spans="1:16">
      <c r="A480">
        <v>2023</v>
      </c>
      <c r="B480" t="s">
        <v>36</v>
      </c>
      <c r="C480" t="s">
        <v>21</v>
      </c>
      <c r="D480" t="s">
        <v>30</v>
      </c>
      <c r="E480">
        <v>2131</v>
      </c>
      <c r="F480">
        <v>4689</v>
      </c>
      <c r="G480">
        <v>4825</v>
      </c>
      <c r="H480">
        <v>2258</v>
      </c>
      <c r="I480" t="s">
        <v>12</v>
      </c>
      <c r="J480" s="21">
        <f ca="1">DATE(Table2[[#This Row],[Year]],MONTH(1 &amp; Table2[[#This Row],[Month]]),RANDBETWEEN(1,30))</f>
        <v>44994</v>
      </c>
      <c r="L480" s="2">
        <v>2021</v>
      </c>
      <c r="M480" s="2" t="s">
        <v>48</v>
      </c>
      <c r="N480" s="2">
        <v>196466</v>
      </c>
      <c r="O480" s="2">
        <v>556110</v>
      </c>
      <c r="P480" s="2" t="s">
        <v>50</v>
      </c>
    </row>
    <row r="481" spans="1:16">
      <c r="A481">
        <v>2023</v>
      </c>
      <c r="B481" t="s">
        <v>36</v>
      </c>
      <c r="C481" t="s">
        <v>25</v>
      </c>
      <c r="D481" t="s">
        <v>34</v>
      </c>
      <c r="E481">
        <v>1651</v>
      </c>
      <c r="F481">
        <v>7659</v>
      </c>
      <c r="G481">
        <v>4587</v>
      </c>
      <c r="H481">
        <v>618</v>
      </c>
      <c r="I481" t="s">
        <v>18</v>
      </c>
      <c r="J481" s="21">
        <f ca="1">DATE(Table2[[#This Row],[Year]],MONTH(1 &amp; Table2[[#This Row],[Month]]),RANDBETWEEN(1,30))</f>
        <v>45013</v>
      </c>
      <c r="L481" s="2">
        <v>2024</v>
      </c>
      <c r="M481" s="2" t="s">
        <v>55</v>
      </c>
      <c r="N481" s="2">
        <v>193427</v>
      </c>
      <c r="O481" s="2">
        <v>287945</v>
      </c>
      <c r="P481" s="2" t="s">
        <v>50</v>
      </c>
    </row>
    <row r="482" spans="1:16">
      <c r="A482">
        <v>2023</v>
      </c>
      <c r="B482" t="s">
        <v>36</v>
      </c>
      <c r="C482" t="s">
        <v>21</v>
      </c>
      <c r="D482" t="s">
        <v>20</v>
      </c>
      <c r="E482">
        <v>753</v>
      </c>
      <c r="F482">
        <v>7023</v>
      </c>
      <c r="G482">
        <v>9055</v>
      </c>
      <c r="H482">
        <v>2505</v>
      </c>
      <c r="I482" t="s">
        <v>18</v>
      </c>
      <c r="J482" s="21">
        <f ca="1">DATE(Table2[[#This Row],[Year]],MONTH(1 &amp; Table2[[#This Row],[Month]]),RANDBETWEEN(1,30))</f>
        <v>44991</v>
      </c>
      <c r="L482" s="2">
        <v>2025</v>
      </c>
      <c r="M482" s="2" t="s">
        <v>54</v>
      </c>
      <c r="N482" s="2">
        <v>127275</v>
      </c>
      <c r="O482" s="2">
        <v>317692</v>
      </c>
      <c r="P482" s="2" t="s">
        <v>59</v>
      </c>
    </row>
    <row r="483" spans="1:16">
      <c r="A483">
        <v>2023</v>
      </c>
      <c r="B483" t="s">
        <v>36</v>
      </c>
      <c r="C483" t="s">
        <v>10</v>
      </c>
      <c r="D483" t="s">
        <v>43</v>
      </c>
      <c r="E483">
        <v>1062</v>
      </c>
      <c r="F483">
        <v>1802</v>
      </c>
      <c r="G483">
        <v>2886</v>
      </c>
      <c r="H483">
        <v>2947</v>
      </c>
      <c r="I483" t="s">
        <v>12</v>
      </c>
      <c r="J483" s="21">
        <f ca="1">DATE(Table2[[#This Row],[Year]],MONTH(1 &amp; Table2[[#This Row],[Month]]),RANDBETWEEN(1,30))</f>
        <v>45007</v>
      </c>
      <c r="L483" s="2">
        <v>2020</v>
      </c>
      <c r="M483" s="2" t="s">
        <v>51</v>
      </c>
      <c r="N483" s="2">
        <v>174850</v>
      </c>
      <c r="O483" s="2">
        <v>447185</v>
      </c>
      <c r="P483" s="2" t="s">
        <v>49</v>
      </c>
    </row>
    <row r="484" spans="1:16">
      <c r="A484">
        <v>2023</v>
      </c>
      <c r="B484" t="s">
        <v>36</v>
      </c>
      <c r="C484" t="s">
        <v>25</v>
      </c>
      <c r="D484" t="s">
        <v>16</v>
      </c>
      <c r="E484">
        <v>3357</v>
      </c>
      <c r="F484">
        <v>8223</v>
      </c>
      <c r="G484">
        <v>7534</v>
      </c>
      <c r="H484">
        <v>1968</v>
      </c>
      <c r="I484" t="s">
        <v>12</v>
      </c>
      <c r="J484" s="21">
        <f ca="1">DATE(Table2[[#This Row],[Year]],MONTH(1 &amp; Table2[[#This Row],[Month]]),RANDBETWEEN(1,30))</f>
        <v>45006</v>
      </c>
      <c r="L484" s="2">
        <v>2024</v>
      </c>
      <c r="M484" s="2" t="s">
        <v>57</v>
      </c>
      <c r="N484" s="2">
        <v>322220</v>
      </c>
      <c r="O484" s="2">
        <v>657417</v>
      </c>
      <c r="P484" s="2" t="s">
        <v>50</v>
      </c>
    </row>
    <row r="485" spans="1:16">
      <c r="A485">
        <v>2023</v>
      </c>
      <c r="B485" t="s">
        <v>36</v>
      </c>
      <c r="C485" t="s">
        <v>21</v>
      </c>
      <c r="D485" t="s">
        <v>38</v>
      </c>
      <c r="E485">
        <v>1611</v>
      </c>
      <c r="F485">
        <v>2390</v>
      </c>
      <c r="G485">
        <v>8483</v>
      </c>
      <c r="H485">
        <v>272</v>
      </c>
      <c r="I485" t="s">
        <v>12</v>
      </c>
      <c r="J485" s="21">
        <f ca="1">DATE(Table2[[#This Row],[Year]],MONTH(1 &amp; Table2[[#This Row],[Month]]),RANDBETWEEN(1,30))</f>
        <v>45003</v>
      </c>
      <c r="L485" s="2">
        <v>2023</v>
      </c>
      <c r="M485" s="2" t="s">
        <v>55</v>
      </c>
      <c r="N485" s="2">
        <v>216544</v>
      </c>
      <c r="O485" s="2">
        <v>305857</v>
      </c>
      <c r="P485" s="2" t="s">
        <v>50</v>
      </c>
    </row>
    <row r="486" spans="1:16">
      <c r="A486">
        <v>2023</v>
      </c>
      <c r="B486" t="s">
        <v>36</v>
      </c>
      <c r="C486" t="s">
        <v>21</v>
      </c>
      <c r="D486" t="s">
        <v>26</v>
      </c>
      <c r="E486">
        <v>84</v>
      </c>
      <c r="F486">
        <v>7263</v>
      </c>
      <c r="G486">
        <v>8249</v>
      </c>
      <c r="H486">
        <v>903</v>
      </c>
      <c r="I486" t="s">
        <v>12</v>
      </c>
      <c r="J486" s="21">
        <f ca="1">DATE(Table2[[#This Row],[Year]],MONTH(1 &amp; Table2[[#This Row],[Month]]),RANDBETWEEN(1,30))</f>
        <v>45000</v>
      </c>
      <c r="L486" s="2">
        <v>2024</v>
      </c>
      <c r="M486" s="2" t="s">
        <v>48</v>
      </c>
      <c r="N486" s="2">
        <v>266958</v>
      </c>
      <c r="O486" s="2">
        <v>272120</v>
      </c>
      <c r="P486" s="2" t="s">
        <v>53</v>
      </c>
    </row>
    <row r="487" spans="1:16">
      <c r="A487">
        <v>2023</v>
      </c>
      <c r="B487" t="s">
        <v>14</v>
      </c>
      <c r="C487" t="s">
        <v>21</v>
      </c>
      <c r="D487" t="s">
        <v>42</v>
      </c>
      <c r="E487">
        <v>1835</v>
      </c>
      <c r="F487">
        <v>1883</v>
      </c>
      <c r="G487">
        <v>4157</v>
      </c>
      <c r="H487">
        <v>360</v>
      </c>
      <c r="I487" t="s">
        <v>18</v>
      </c>
      <c r="J487" s="21">
        <f ca="1">DATE(Table2[[#This Row],[Year]],MONTH(1 &amp; Table2[[#This Row],[Month]]),RANDBETWEEN(1,30))</f>
        <v>45034</v>
      </c>
      <c r="L487" s="2">
        <v>2025</v>
      </c>
      <c r="M487" s="2" t="s">
        <v>57</v>
      </c>
      <c r="N487" s="2">
        <v>250747</v>
      </c>
      <c r="O487" s="2">
        <v>579488</v>
      </c>
      <c r="P487" s="2" t="s">
        <v>59</v>
      </c>
    </row>
    <row r="488" spans="1:16">
      <c r="A488">
        <v>2023</v>
      </c>
      <c r="B488" t="s">
        <v>14</v>
      </c>
      <c r="C488" t="s">
        <v>23</v>
      </c>
      <c r="D488" t="s">
        <v>22</v>
      </c>
      <c r="E488">
        <v>3139</v>
      </c>
      <c r="F488">
        <v>7636</v>
      </c>
      <c r="G488">
        <v>3366</v>
      </c>
      <c r="H488">
        <v>1808</v>
      </c>
      <c r="I488" t="s">
        <v>28</v>
      </c>
      <c r="J488" s="21">
        <f ca="1">DATE(Table2[[#This Row],[Year]],MONTH(1 &amp; Table2[[#This Row],[Month]]),RANDBETWEEN(1,30))</f>
        <v>45034</v>
      </c>
      <c r="L488" s="2">
        <v>2025</v>
      </c>
      <c r="M488" s="2" t="s">
        <v>56</v>
      </c>
      <c r="N488" s="2">
        <v>450362</v>
      </c>
      <c r="O488" s="2">
        <v>450310</v>
      </c>
      <c r="P488" s="2" t="s">
        <v>50</v>
      </c>
    </row>
    <row r="489" spans="1:16">
      <c r="A489">
        <v>2023</v>
      </c>
      <c r="B489" t="s">
        <v>14</v>
      </c>
      <c r="C489" t="s">
        <v>15</v>
      </c>
      <c r="D489" t="s">
        <v>39</v>
      </c>
      <c r="E489">
        <v>1594</v>
      </c>
      <c r="F489">
        <v>1196</v>
      </c>
      <c r="G489">
        <v>6226</v>
      </c>
      <c r="H489">
        <v>2498</v>
      </c>
      <c r="I489" t="s">
        <v>28</v>
      </c>
      <c r="J489" s="21">
        <f ca="1">DATE(Table2[[#This Row],[Year]],MONTH(1 &amp; Table2[[#This Row],[Month]]),RANDBETWEEN(1,30))</f>
        <v>45042</v>
      </c>
      <c r="L489" s="2">
        <v>2024</v>
      </c>
      <c r="M489" s="2" t="s">
        <v>56</v>
      </c>
      <c r="N489" s="2">
        <v>462120</v>
      </c>
      <c r="O489" s="2">
        <v>655893</v>
      </c>
      <c r="P489" s="2" t="s">
        <v>50</v>
      </c>
    </row>
    <row r="490" spans="1:16">
      <c r="A490">
        <v>2023</v>
      </c>
      <c r="B490" t="s">
        <v>14</v>
      </c>
      <c r="C490" t="s">
        <v>29</v>
      </c>
      <c r="D490" t="s">
        <v>26</v>
      </c>
      <c r="E490">
        <v>865</v>
      </c>
      <c r="F490">
        <v>7595</v>
      </c>
      <c r="G490">
        <v>7466</v>
      </c>
      <c r="H490">
        <v>1903</v>
      </c>
      <c r="I490" t="s">
        <v>18</v>
      </c>
      <c r="J490" s="21">
        <f ca="1">DATE(Table2[[#This Row],[Year]],MONTH(1 &amp; Table2[[#This Row],[Month]]),RANDBETWEEN(1,30))</f>
        <v>45018</v>
      </c>
      <c r="L490" s="2">
        <v>2022</v>
      </c>
      <c r="M490" s="2" t="s">
        <v>60</v>
      </c>
      <c r="N490" s="2">
        <v>297183</v>
      </c>
      <c r="O490" s="2">
        <v>273307</v>
      </c>
      <c r="P490" s="2" t="s">
        <v>50</v>
      </c>
    </row>
    <row r="491" spans="1:16">
      <c r="A491">
        <v>2023</v>
      </c>
      <c r="B491" t="s">
        <v>14</v>
      </c>
      <c r="C491" t="s">
        <v>29</v>
      </c>
      <c r="D491" t="s">
        <v>23</v>
      </c>
      <c r="E491">
        <v>1229</v>
      </c>
      <c r="F491">
        <v>9935</v>
      </c>
      <c r="G491">
        <v>4296</v>
      </c>
      <c r="H491">
        <v>1883</v>
      </c>
      <c r="I491" t="s">
        <v>18</v>
      </c>
      <c r="J491" s="21">
        <f ca="1">DATE(Table2[[#This Row],[Year]],MONTH(1 &amp; Table2[[#This Row],[Month]]),RANDBETWEEN(1,30))</f>
        <v>45042</v>
      </c>
      <c r="L491" s="2">
        <v>2022</v>
      </c>
      <c r="M491" s="2" t="s">
        <v>55</v>
      </c>
      <c r="N491" s="2">
        <v>232062</v>
      </c>
      <c r="O491" s="2">
        <v>522964</v>
      </c>
      <c r="P491" s="2" t="s">
        <v>50</v>
      </c>
    </row>
    <row r="492" spans="1:16">
      <c r="A492">
        <v>2023</v>
      </c>
      <c r="B492" t="s">
        <v>14</v>
      </c>
      <c r="C492" t="s">
        <v>10</v>
      </c>
      <c r="D492" t="s">
        <v>30</v>
      </c>
      <c r="E492">
        <v>385</v>
      </c>
      <c r="F492">
        <v>6858</v>
      </c>
      <c r="G492">
        <v>10835</v>
      </c>
      <c r="H492">
        <v>564</v>
      </c>
      <c r="I492" t="s">
        <v>28</v>
      </c>
      <c r="J492" s="21">
        <f ca="1">DATE(Table2[[#This Row],[Year]],MONTH(1 &amp; Table2[[#This Row],[Month]]),RANDBETWEEN(1,30))</f>
        <v>45027</v>
      </c>
      <c r="L492" s="2">
        <v>2021</v>
      </c>
      <c r="M492" s="2" t="s">
        <v>48</v>
      </c>
      <c r="N492" s="2">
        <v>142720</v>
      </c>
      <c r="O492" s="2">
        <v>316440</v>
      </c>
      <c r="P492" s="2" t="s">
        <v>59</v>
      </c>
    </row>
    <row r="493" spans="1:16">
      <c r="A493">
        <v>2023</v>
      </c>
      <c r="B493" t="s">
        <v>14</v>
      </c>
      <c r="C493" t="s">
        <v>25</v>
      </c>
      <c r="D493" t="s">
        <v>20</v>
      </c>
      <c r="E493">
        <v>2874</v>
      </c>
      <c r="F493">
        <v>6020</v>
      </c>
      <c r="G493">
        <v>8877</v>
      </c>
      <c r="H493">
        <v>850</v>
      </c>
      <c r="I493" t="s">
        <v>18</v>
      </c>
      <c r="J493" s="21">
        <f ca="1">DATE(Table2[[#This Row],[Year]],MONTH(1 &amp; Table2[[#This Row],[Month]]),RANDBETWEEN(1,30))</f>
        <v>45022</v>
      </c>
      <c r="L493" s="2">
        <v>2022</v>
      </c>
      <c r="M493" s="2" t="s">
        <v>51</v>
      </c>
      <c r="N493" s="2">
        <v>481361</v>
      </c>
      <c r="O493" s="2">
        <v>278380</v>
      </c>
      <c r="P493" s="2" t="s">
        <v>59</v>
      </c>
    </row>
    <row r="494" spans="1:16">
      <c r="A494">
        <v>2023</v>
      </c>
      <c r="B494" t="s">
        <v>14</v>
      </c>
      <c r="C494" t="s">
        <v>29</v>
      </c>
      <c r="D494" t="s">
        <v>17</v>
      </c>
      <c r="E494">
        <v>3459</v>
      </c>
      <c r="F494">
        <v>1325</v>
      </c>
      <c r="G494">
        <v>5488</v>
      </c>
      <c r="H494">
        <v>1473</v>
      </c>
      <c r="I494" t="s">
        <v>12</v>
      </c>
      <c r="J494" s="21">
        <f ca="1">DATE(Table2[[#This Row],[Year]],MONTH(1 &amp; Table2[[#This Row],[Month]]),RANDBETWEEN(1,30))</f>
        <v>45023</v>
      </c>
      <c r="L494" s="2">
        <v>2025</v>
      </c>
      <c r="M494" s="2" t="s">
        <v>58</v>
      </c>
      <c r="N494" s="2">
        <v>124091</v>
      </c>
      <c r="O494" s="2">
        <v>541715</v>
      </c>
      <c r="P494" s="2" t="s">
        <v>50</v>
      </c>
    </row>
    <row r="495" spans="1:16">
      <c r="A495">
        <v>2023</v>
      </c>
      <c r="B495" t="s">
        <v>14</v>
      </c>
      <c r="C495" t="s">
        <v>29</v>
      </c>
      <c r="D495" t="s">
        <v>16</v>
      </c>
      <c r="E495">
        <v>153</v>
      </c>
      <c r="F495">
        <v>7025</v>
      </c>
      <c r="G495">
        <v>11264</v>
      </c>
      <c r="H495">
        <v>1785</v>
      </c>
      <c r="I495" t="s">
        <v>12</v>
      </c>
      <c r="J495" s="21">
        <f ca="1">DATE(Table2[[#This Row],[Year]],MONTH(1 &amp; Table2[[#This Row],[Month]]),RANDBETWEEN(1,30))</f>
        <v>45017</v>
      </c>
      <c r="L495" s="2">
        <v>2022</v>
      </c>
      <c r="M495" s="2" t="s">
        <v>56</v>
      </c>
      <c r="N495" s="2">
        <v>219060</v>
      </c>
      <c r="O495" s="2">
        <v>496842</v>
      </c>
      <c r="P495" s="2" t="s">
        <v>50</v>
      </c>
    </row>
    <row r="496" spans="1:16">
      <c r="A496">
        <v>2023</v>
      </c>
      <c r="B496" t="s">
        <v>14</v>
      </c>
      <c r="C496" t="s">
        <v>21</v>
      </c>
      <c r="D496" t="s">
        <v>35</v>
      </c>
      <c r="E496">
        <v>1685</v>
      </c>
      <c r="F496">
        <v>6732</v>
      </c>
      <c r="G496">
        <v>10038</v>
      </c>
      <c r="H496">
        <v>1928</v>
      </c>
      <c r="I496" t="s">
        <v>28</v>
      </c>
      <c r="J496" s="21">
        <f ca="1">DATE(Table2[[#This Row],[Year]],MONTH(1 &amp; Table2[[#This Row],[Month]]),RANDBETWEEN(1,30))</f>
        <v>45028</v>
      </c>
      <c r="L496" s="2">
        <v>2024</v>
      </c>
      <c r="M496" s="2" t="s">
        <v>60</v>
      </c>
      <c r="N496" s="2">
        <v>219226</v>
      </c>
      <c r="O496" s="2">
        <v>577414</v>
      </c>
      <c r="P496" s="2" t="s">
        <v>50</v>
      </c>
    </row>
    <row r="497" spans="1:16">
      <c r="A497">
        <v>2023</v>
      </c>
      <c r="B497" t="s">
        <v>14</v>
      </c>
      <c r="C497" t="s">
        <v>21</v>
      </c>
      <c r="D497" t="s">
        <v>34</v>
      </c>
      <c r="E497">
        <v>397</v>
      </c>
      <c r="F497">
        <v>7577</v>
      </c>
      <c r="G497">
        <v>10067</v>
      </c>
      <c r="H497">
        <v>1507</v>
      </c>
      <c r="I497" t="s">
        <v>18</v>
      </c>
      <c r="J497" s="21">
        <f ca="1">DATE(Table2[[#This Row],[Year]],MONTH(1 &amp; Table2[[#This Row],[Month]]),RANDBETWEEN(1,30))</f>
        <v>45042</v>
      </c>
      <c r="L497" s="2">
        <v>2020</v>
      </c>
      <c r="M497" s="2" t="s">
        <v>60</v>
      </c>
      <c r="N497" s="2">
        <v>228161</v>
      </c>
      <c r="O497" s="2">
        <v>354731</v>
      </c>
      <c r="P497" s="2" t="s">
        <v>49</v>
      </c>
    </row>
    <row r="498" spans="1:16">
      <c r="A498">
        <v>2023</v>
      </c>
      <c r="B498" t="s">
        <v>14</v>
      </c>
      <c r="C498" t="s">
        <v>15</v>
      </c>
      <c r="D498" t="s">
        <v>11</v>
      </c>
      <c r="E498">
        <v>2314</v>
      </c>
      <c r="F498">
        <v>8610</v>
      </c>
      <c r="G498">
        <v>2100</v>
      </c>
      <c r="H498">
        <v>2965</v>
      </c>
      <c r="I498" t="s">
        <v>28</v>
      </c>
      <c r="J498" s="21">
        <f ca="1">DATE(Table2[[#This Row],[Year]],MONTH(1 &amp; Table2[[#This Row],[Month]]),RANDBETWEEN(1,30))</f>
        <v>45042</v>
      </c>
      <c r="L498" s="2">
        <v>2021</v>
      </c>
      <c r="M498" s="2" t="s">
        <v>61</v>
      </c>
      <c r="N498" s="2">
        <v>165715</v>
      </c>
      <c r="O498" s="2">
        <v>423986</v>
      </c>
      <c r="P498" s="2" t="s">
        <v>53</v>
      </c>
    </row>
    <row r="499" spans="1:16">
      <c r="A499">
        <v>2023</v>
      </c>
      <c r="B499" t="s">
        <v>14</v>
      </c>
      <c r="C499" t="s">
        <v>15</v>
      </c>
      <c r="D499" t="s">
        <v>17</v>
      </c>
      <c r="E499">
        <v>2985</v>
      </c>
      <c r="F499">
        <v>5338</v>
      </c>
      <c r="G499">
        <v>10286</v>
      </c>
      <c r="H499">
        <v>2578</v>
      </c>
      <c r="I499" t="s">
        <v>12</v>
      </c>
      <c r="J499" s="21">
        <f ca="1">DATE(Table2[[#This Row],[Year]],MONTH(1 &amp; Table2[[#This Row],[Month]]),RANDBETWEEN(1,30))</f>
        <v>45022</v>
      </c>
      <c r="L499" s="2">
        <v>2021</v>
      </c>
      <c r="M499" s="2" t="s">
        <v>58</v>
      </c>
      <c r="N499" s="2">
        <v>413265</v>
      </c>
      <c r="O499" s="2">
        <v>402736</v>
      </c>
      <c r="P499" s="2" t="s">
        <v>53</v>
      </c>
    </row>
    <row r="500" spans="1:16">
      <c r="A500">
        <v>2023</v>
      </c>
      <c r="B500" t="s">
        <v>14</v>
      </c>
      <c r="C500" t="s">
        <v>10</v>
      </c>
      <c r="D500" t="s">
        <v>22</v>
      </c>
      <c r="E500">
        <v>2815</v>
      </c>
      <c r="F500">
        <v>5175</v>
      </c>
      <c r="G500">
        <v>9049</v>
      </c>
      <c r="H500">
        <v>2883</v>
      </c>
      <c r="I500" t="s">
        <v>12</v>
      </c>
      <c r="J500" s="21">
        <f ca="1">DATE(Table2[[#This Row],[Year]],MONTH(1 &amp; Table2[[#This Row],[Month]]),RANDBETWEEN(1,30))</f>
        <v>45045</v>
      </c>
      <c r="L500" s="2">
        <v>2020</v>
      </c>
      <c r="M500" s="2" t="s">
        <v>61</v>
      </c>
      <c r="N500" s="2">
        <v>148999</v>
      </c>
      <c r="O500" s="2">
        <v>692045</v>
      </c>
      <c r="P500" s="2" t="s">
        <v>59</v>
      </c>
    </row>
    <row r="501" spans="1:16">
      <c r="A501">
        <v>2023</v>
      </c>
      <c r="B501" t="s">
        <v>14</v>
      </c>
      <c r="C501" t="s">
        <v>29</v>
      </c>
      <c r="D501" t="s">
        <v>37</v>
      </c>
      <c r="E501">
        <v>3058</v>
      </c>
      <c r="F501">
        <v>6516</v>
      </c>
      <c r="G501">
        <v>3408</v>
      </c>
      <c r="H501">
        <v>1506</v>
      </c>
      <c r="I501" t="s">
        <v>18</v>
      </c>
      <c r="J501" s="21">
        <f ca="1">DATE(Table2[[#This Row],[Year]],MONTH(1 &amp; Table2[[#This Row],[Month]]),RANDBETWEEN(1,30))</f>
        <v>45021</v>
      </c>
      <c r="L501" s="2">
        <v>2024</v>
      </c>
      <c r="M501" s="2" t="s">
        <v>55</v>
      </c>
      <c r="N501" s="2">
        <v>353963</v>
      </c>
      <c r="O501" s="2">
        <v>346124</v>
      </c>
      <c r="P501" s="2" t="s">
        <v>53</v>
      </c>
    </row>
    <row r="502" spans="1:16">
      <c r="A502">
        <v>2023</v>
      </c>
      <c r="B502" t="s">
        <v>14</v>
      </c>
      <c r="C502" t="s">
        <v>10</v>
      </c>
      <c r="D502" t="s">
        <v>26</v>
      </c>
      <c r="E502">
        <v>881</v>
      </c>
      <c r="F502">
        <v>9744</v>
      </c>
      <c r="G502">
        <v>5569</v>
      </c>
      <c r="H502">
        <v>567</v>
      </c>
      <c r="I502" t="s">
        <v>18</v>
      </c>
      <c r="J502" s="21">
        <f ca="1">DATE(Table2[[#This Row],[Year]],MONTH(1 &amp; Table2[[#This Row],[Month]]),RANDBETWEEN(1,30))</f>
        <v>45033</v>
      </c>
      <c r="L502" s="2">
        <v>2021</v>
      </c>
      <c r="M502" s="2" t="s">
        <v>56</v>
      </c>
      <c r="N502" s="2">
        <v>149538</v>
      </c>
      <c r="O502" s="2">
        <v>347409</v>
      </c>
      <c r="P502" s="2" t="s">
        <v>59</v>
      </c>
    </row>
    <row r="503" spans="1:16">
      <c r="A503">
        <v>2023</v>
      </c>
      <c r="B503" t="s">
        <v>14</v>
      </c>
      <c r="C503" t="s">
        <v>21</v>
      </c>
      <c r="D503" t="s">
        <v>23</v>
      </c>
      <c r="E503">
        <v>3255</v>
      </c>
      <c r="F503">
        <v>7255</v>
      </c>
      <c r="G503">
        <v>8478</v>
      </c>
      <c r="H503">
        <v>1325</v>
      </c>
      <c r="I503" t="s">
        <v>18</v>
      </c>
      <c r="J503" s="21">
        <f ca="1">DATE(Table2[[#This Row],[Year]],MONTH(1 &amp; Table2[[#This Row],[Month]]),RANDBETWEEN(1,30))</f>
        <v>45046</v>
      </c>
      <c r="L503" s="2">
        <v>2022</v>
      </c>
      <c r="M503" s="2" t="s">
        <v>57</v>
      </c>
      <c r="N503" s="2">
        <v>128214</v>
      </c>
      <c r="O503" s="2">
        <v>377274</v>
      </c>
      <c r="P503" s="2" t="s">
        <v>53</v>
      </c>
    </row>
    <row r="504" spans="1:16">
      <c r="A504">
        <v>2023</v>
      </c>
      <c r="B504" t="s">
        <v>33</v>
      </c>
      <c r="C504" t="s">
        <v>10</v>
      </c>
      <c r="D504" t="s">
        <v>17</v>
      </c>
      <c r="E504">
        <v>3153</v>
      </c>
      <c r="F504">
        <v>7583</v>
      </c>
      <c r="G504">
        <v>11804</v>
      </c>
      <c r="H504">
        <v>649</v>
      </c>
      <c r="I504" t="s">
        <v>18</v>
      </c>
      <c r="J504" s="21">
        <f ca="1">DATE(Table2[[#This Row],[Year]],MONTH(1 &amp; Table2[[#This Row],[Month]]),RANDBETWEEN(1,30))</f>
        <v>45075</v>
      </c>
      <c r="L504" s="2">
        <v>2020</v>
      </c>
      <c r="M504" s="2" t="s">
        <v>55</v>
      </c>
      <c r="N504" s="2">
        <v>463772</v>
      </c>
      <c r="O504" s="2">
        <v>482297</v>
      </c>
      <c r="P504" s="2" t="s">
        <v>59</v>
      </c>
    </row>
    <row r="505" spans="1:16">
      <c r="A505">
        <v>2023</v>
      </c>
      <c r="B505" t="s">
        <v>33</v>
      </c>
      <c r="C505" t="s">
        <v>23</v>
      </c>
      <c r="D505" t="s">
        <v>34</v>
      </c>
      <c r="E505">
        <v>876</v>
      </c>
      <c r="F505">
        <v>2339</v>
      </c>
      <c r="G505">
        <v>4596</v>
      </c>
      <c r="H505">
        <v>364</v>
      </c>
      <c r="I505" t="s">
        <v>12</v>
      </c>
      <c r="J505" s="21">
        <f ca="1">DATE(Table2[[#This Row],[Year]],MONTH(1 &amp; Table2[[#This Row],[Month]]),RANDBETWEEN(1,30))</f>
        <v>45057</v>
      </c>
      <c r="L505" s="2">
        <v>2025</v>
      </c>
      <c r="M505" s="2" t="s">
        <v>56</v>
      </c>
      <c r="N505" s="2">
        <v>176052</v>
      </c>
      <c r="O505" s="2">
        <v>326161</v>
      </c>
      <c r="P505" s="2" t="s">
        <v>50</v>
      </c>
    </row>
    <row r="506" spans="1:16">
      <c r="A506">
        <v>2023</v>
      </c>
      <c r="B506" t="s">
        <v>33</v>
      </c>
      <c r="C506" t="s">
        <v>21</v>
      </c>
      <c r="D506" t="s">
        <v>17</v>
      </c>
      <c r="E506">
        <v>874</v>
      </c>
      <c r="F506">
        <v>7638</v>
      </c>
      <c r="G506">
        <v>11760</v>
      </c>
      <c r="H506">
        <v>1798</v>
      </c>
      <c r="I506" t="s">
        <v>12</v>
      </c>
      <c r="J506" s="21">
        <f ca="1">DATE(Table2[[#This Row],[Year]],MONTH(1 &amp; Table2[[#This Row],[Month]]),RANDBETWEEN(1,30))</f>
        <v>45050</v>
      </c>
      <c r="L506" s="2">
        <v>2021</v>
      </c>
      <c r="M506" s="2" t="s">
        <v>61</v>
      </c>
      <c r="N506" s="2">
        <v>428500</v>
      </c>
      <c r="O506" s="2">
        <v>657645</v>
      </c>
      <c r="P506" s="2" t="s">
        <v>53</v>
      </c>
    </row>
    <row r="507" spans="1:16">
      <c r="A507">
        <v>2023</v>
      </c>
      <c r="B507" t="s">
        <v>33</v>
      </c>
      <c r="C507" t="s">
        <v>10</v>
      </c>
      <c r="D507" t="s">
        <v>17</v>
      </c>
      <c r="E507">
        <v>1031</v>
      </c>
      <c r="F507">
        <v>6725</v>
      </c>
      <c r="G507">
        <v>7325</v>
      </c>
      <c r="H507">
        <v>531</v>
      </c>
      <c r="I507" t="s">
        <v>28</v>
      </c>
      <c r="J507" s="21">
        <f ca="1">DATE(Table2[[#This Row],[Year]],MONTH(1 &amp; Table2[[#This Row],[Month]]),RANDBETWEEN(1,30))</f>
        <v>45068</v>
      </c>
      <c r="L507" s="2">
        <v>2022</v>
      </c>
      <c r="M507" s="2" t="s">
        <v>48</v>
      </c>
      <c r="N507" s="2">
        <v>317852</v>
      </c>
      <c r="O507" s="2">
        <v>332843</v>
      </c>
      <c r="P507" s="2" t="s">
        <v>49</v>
      </c>
    </row>
    <row r="508" spans="1:16">
      <c r="A508">
        <v>2023</v>
      </c>
      <c r="B508" t="s">
        <v>33</v>
      </c>
      <c r="C508" t="s">
        <v>25</v>
      </c>
      <c r="D508" t="s">
        <v>43</v>
      </c>
      <c r="E508">
        <v>3257</v>
      </c>
      <c r="F508">
        <v>9852</v>
      </c>
      <c r="G508">
        <v>2518</v>
      </c>
      <c r="H508">
        <v>1111</v>
      </c>
      <c r="I508" t="s">
        <v>28</v>
      </c>
      <c r="J508" s="21">
        <f ca="1">DATE(Table2[[#This Row],[Year]],MONTH(1 &amp; Table2[[#This Row],[Month]]),RANDBETWEEN(1,30))</f>
        <v>45071</v>
      </c>
      <c r="L508" s="2">
        <v>2021</v>
      </c>
      <c r="M508" s="2" t="s">
        <v>52</v>
      </c>
      <c r="N508" s="2">
        <v>131143</v>
      </c>
      <c r="O508" s="2">
        <v>647908</v>
      </c>
      <c r="P508" s="2" t="s">
        <v>53</v>
      </c>
    </row>
    <row r="509" spans="1:16">
      <c r="A509">
        <v>2023</v>
      </c>
      <c r="B509" t="s">
        <v>33</v>
      </c>
      <c r="C509" t="s">
        <v>21</v>
      </c>
      <c r="D509" t="s">
        <v>38</v>
      </c>
      <c r="E509">
        <v>2650</v>
      </c>
      <c r="F509">
        <v>6124</v>
      </c>
      <c r="G509">
        <v>4641</v>
      </c>
      <c r="H509">
        <v>1284</v>
      </c>
      <c r="I509" t="s">
        <v>28</v>
      </c>
      <c r="J509" s="21">
        <f ca="1">DATE(Table2[[#This Row],[Year]],MONTH(1 &amp; Table2[[#This Row],[Month]]),RANDBETWEEN(1,30))</f>
        <v>45052</v>
      </c>
      <c r="L509" s="2">
        <v>2022</v>
      </c>
      <c r="M509" s="2" t="s">
        <v>52</v>
      </c>
      <c r="N509" s="2">
        <v>482179</v>
      </c>
      <c r="O509" s="2">
        <v>251738</v>
      </c>
      <c r="P509" s="2" t="s">
        <v>59</v>
      </c>
    </row>
    <row r="510" spans="1:16">
      <c r="A510">
        <v>2023</v>
      </c>
      <c r="B510" t="s">
        <v>33</v>
      </c>
      <c r="C510" t="s">
        <v>10</v>
      </c>
      <c r="D510" t="s">
        <v>23</v>
      </c>
      <c r="E510">
        <v>3025</v>
      </c>
      <c r="F510">
        <v>5374</v>
      </c>
      <c r="G510">
        <v>2181</v>
      </c>
      <c r="H510">
        <v>1264</v>
      </c>
      <c r="I510" t="s">
        <v>12</v>
      </c>
      <c r="J510" s="21">
        <f ca="1">DATE(Table2[[#This Row],[Year]],MONTH(1 &amp; Table2[[#This Row],[Month]]),RANDBETWEEN(1,30))</f>
        <v>45073</v>
      </c>
      <c r="L510" s="2">
        <v>2020</v>
      </c>
      <c r="M510" s="2" t="s">
        <v>56</v>
      </c>
      <c r="N510" s="2">
        <v>198784</v>
      </c>
      <c r="O510" s="2">
        <v>528281</v>
      </c>
      <c r="P510" s="2" t="s">
        <v>59</v>
      </c>
    </row>
    <row r="511" spans="1:16">
      <c r="A511">
        <v>2023</v>
      </c>
      <c r="B511" t="s">
        <v>33</v>
      </c>
      <c r="C511" t="s">
        <v>23</v>
      </c>
      <c r="D511" t="s">
        <v>11</v>
      </c>
      <c r="E511">
        <v>2243</v>
      </c>
      <c r="F511">
        <v>3954</v>
      </c>
      <c r="G511">
        <v>7641</v>
      </c>
      <c r="H511">
        <v>1327</v>
      </c>
      <c r="I511" t="s">
        <v>28</v>
      </c>
      <c r="J511" s="21">
        <f ca="1">DATE(Table2[[#This Row],[Year]],MONTH(1 &amp; Table2[[#This Row],[Month]]),RANDBETWEEN(1,30))</f>
        <v>45051</v>
      </c>
      <c r="L511" s="2">
        <v>2025</v>
      </c>
      <c r="M511" s="2" t="s">
        <v>57</v>
      </c>
      <c r="N511" s="2">
        <v>443858</v>
      </c>
      <c r="O511" s="2">
        <v>653493</v>
      </c>
      <c r="P511" s="2" t="s">
        <v>50</v>
      </c>
    </row>
    <row r="512" spans="1:16">
      <c r="A512">
        <v>2023</v>
      </c>
      <c r="B512" t="s">
        <v>33</v>
      </c>
      <c r="C512" t="s">
        <v>25</v>
      </c>
      <c r="D512" t="s">
        <v>23</v>
      </c>
      <c r="E512">
        <v>1734</v>
      </c>
      <c r="F512">
        <v>7563</v>
      </c>
      <c r="G512">
        <v>8886</v>
      </c>
      <c r="H512">
        <v>471</v>
      </c>
      <c r="I512" t="s">
        <v>18</v>
      </c>
      <c r="J512" s="21">
        <f ca="1">DATE(Table2[[#This Row],[Year]],MONTH(1 &amp; Table2[[#This Row],[Month]]),RANDBETWEEN(1,30))</f>
        <v>45048</v>
      </c>
      <c r="L512" s="2">
        <v>2021</v>
      </c>
      <c r="M512" s="2" t="s">
        <v>55</v>
      </c>
      <c r="N512" s="2">
        <v>167524</v>
      </c>
      <c r="O512" s="2">
        <v>284375</v>
      </c>
      <c r="P512" s="2" t="s">
        <v>50</v>
      </c>
    </row>
    <row r="513" spans="1:16">
      <c r="A513">
        <v>2023</v>
      </c>
      <c r="B513" t="s">
        <v>33</v>
      </c>
      <c r="C513" t="s">
        <v>10</v>
      </c>
      <c r="D513" t="s">
        <v>37</v>
      </c>
      <c r="E513">
        <v>3845</v>
      </c>
      <c r="F513">
        <v>5674</v>
      </c>
      <c r="G513">
        <v>3630</v>
      </c>
      <c r="H513">
        <v>709</v>
      </c>
      <c r="I513" t="s">
        <v>18</v>
      </c>
      <c r="J513" s="21">
        <f ca="1">DATE(Table2[[#This Row],[Year]],MONTH(1 &amp; Table2[[#This Row],[Month]]),RANDBETWEEN(1,30))</f>
        <v>45071</v>
      </c>
      <c r="L513" s="2">
        <v>2021</v>
      </c>
      <c r="M513" s="2" t="s">
        <v>60</v>
      </c>
      <c r="N513" s="2">
        <v>441577</v>
      </c>
      <c r="O513" s="2">
        <v>684163</v>
      </c>
      <c r="P513" s="2" t="s">
        <v>59</v>
      </c>
    </row>
    <row r="514" spans="1:16">
      <c r="A514">
        <v>2023</v>
      </c>
      <c r="B514" t="s">
        <v>33</v>
      </c>
      <c r="C514" t="s">
        <v>15</v>
      </c>
      <c r="D514" t="s">
        <v>42</v>
      </c>
      <c r="E514">
        <v>2149</v>
      </c>
      <c r="F514">
        <v>8232</v>
      </c>
      <c r="G514">
        <v>4858</v>
      </c>
      <c r="H514">
        <v>2851</v>
      </c>
      <c r="I514" t="s">
        <v>18</v>
      </c>
      <c r="J514" s="21">
        <f ca="1">DATE(Table2[[#This Row],[Year]],MONTH(1 &amp; Table2[[#This Row],[Month]]),RANDBETWEEN(1,30))</f>
        <v>45052</v>
      </c>
      <c r="L514" s="2">
        <v>2024</v>
      </c>
      <c r="M514" s="2" t="s">
        <v>61</v>
      </c>
      <c r="N514" s="2">
        <v>105292</v>
      </c>
      <c r="O514" s="2">
        <v>426442</v>
      </c>
      <c r="P514" s="2" t="s">
        <v>53</v>
      </c>
    </row>
    <row r="515" spans="1:16">
      <c r="A515">
        <v>2023</v>
      </c>
      <c r="B515" t="s">
        <v>27</v>
      </c>
      <c r="C515" t="s">
        <v>10</v>
      </c>
      <c r="D515" t="s">
        <v>34</v>
      </c>
      <c r="E515">
        <v>2507</v>
      </c>
      <c r="F515">
        <v>6405</v>
      </c>
      <c r="G515">
        <v>9945</v>
      </c>
      <c r="H515">
        <v>971</v>
      </c>
      <c r="I515" t="s">
        <v>18</v>
      </c>
      <c r="J515" s="21">
        <f ca="1">DATE(Table2[[#This Row],[Year]],MONTH(1 &amp; Table2[[#This Row],[Month]]),RANDBETWEEN(1,30))</f>
        <v>45085</v>
      </c>
      <c r="L515" s="2">
        <v>2020</v>
      </c>
      <c r="M515" s="2" t="s">
        <v>60</v>
      </c>
      <c r="N515" s="2">
        <v>304712</v>
      </c>
      <c r="O515" s="2">
        <v>672858</v>
      </c>
      <c r="P515" s="2" t="s">
        <v>49</v>
      </c>
    </row>
    <row r="516" spans="1:16">
      <c r="A516">
        <v>2023</v>
      </c>
      <c r="B516" t="s">
        <v>27</v>
      </c>
      <c r="C516" t="s">
        <v>25</v>
      </c>
      <c r="D516" t="s">
        <v>39</v>
      </c>
      <c r="E516">
        <v>567</v>
      </c>
      <c r="F516">
        <v>8071</v>
      </c>
      <c r="G516">
        <v>3752</v>
      </c>
      <c r="H516">
        <v>2527</v>
      </c>
      <c r="I516" t="s">
        <v>12</v>
      </c>
      <c r="J516" s="21">
        <f ca="1">DATE(Table2[[#This Row],[Year]],MONTH(1 &amp; Table2[[#This Row],[Month]]),RANDBETWEEN(1,30))</f>
        <v>45084</v>
      </c>
      <c r="L516" s="2">
        <v>2020</v>
      </c>
      <c r="M516" s="2" t="s">
        <v>61</v>
      </c>
      <c r="N516" s="2">
        <v>407777</v>
      </c>
      <c r="O516" s="2">
        <v>538410</v>
      </c>
      <c r="P516" s="2" t="s">
        <v>50</v>
      </c>
    </row>
    <row r="517" spans="1:16">
      <c r="A517">
        <v>2023</v>
      </c>
      <c r="B517" t="s">
        <v>27</v>
      </c>
      <c r="C517" t="s">
        <v>15</v>
      </c>
      <c r="D517" t="s">
        <v>22</v>
      </c>
      <c r="E517">
        <v>2824</v>
      </c>
      <c r="F517">
        <v>3334</v>
      </c>
      <c r="G517">
        <v>4709</v>
      </c>
      <c r="H517">
        <v>902</v>
      </c>
      <c r="I517" t="s">
        <v>28</v>
      </c>
      <c r="J517" s="21">
        <f ca="1">DATE(Table2[[#This Row],[Year]],MONTH(1 &amp; Table2[[#This Row],[Month]]),RANDBETWEEN(1,30))</f>
        <v>45105</v>
      </c>
      <c r="L517" s="2">
        <v>2025</v>
      </c>
      <c r="M517" s="2" t="s">
        <v>52</v>
      </c>
      <c r="N517" s="2">
        <v>473918</v>
      </c>
      <c r="O517" s="2">
        <v>350793</v>
      </c>
      <c r="P517" s="2" t="s">
        <v>50</v>
      </c>
    </row>
    <row r="518" spans="1:16">
      <c r="A518">
        <v>2023</v>
      </c>
      <c r="B518" t="s">
        <v>27</v>
      </c>
      <c r="C518" t="s">
        <v>10</v>
      </c>
      <c r="D518" t="s">
        <v>20</v>
      </c>
      <c r="E518">
        <v>1348</v>
      </c>
      <c r="F518">
        <v>1736</v>
      </c>
      <c r="G518">
        <v>11329</v>
      </c>
      <c r="H518">
        <v>392</v>
      </c>
      <c r="I518" t="s">
        <v>28</v>
      </c>
      <c r="J518" s="21">
        <f ca="1">DATE(Table2[[#This Row],[Year]],MONTH(1 &amp; Table2[[#This Row],[Month]]),RANDBETWEEN(1,30))</f>
        <v>45087</v>
      </c>
      <c r="L518" s="2">
        <v>2022</v>
      </c>
      <c r="M518" s="2" t="s">
        <v>56</v>
      </c>
      <c r="N518" s="2">
        <v>463681</v>
      </c>
      <c r="O518" s="2">
        <v>294151</v>
      </c>
      <c r="P518" s="2" t="s">
        <v>50</v>
      </c>
    </row>
    <row r="519" spans="1:16">
      <c r="A519">
        <v>2023</v>
      </c>
      <c r="B519" t="s">
        <v>27</v>
      </c>
      <c r="C519" t="s">
        <v>29</v>
      </c>
      <c r="D519" t="s">
        <v>42</v>
      </c>
      <c r="E519">
        <v>1860</v>
      </c>
      <c r="F519">
        <v>2193</v>
      </c>
      <c r="G519">
        <v>7859</v>
      </c>
      <c r="H519">
        <v>1833</v>
      </c>
      <c r="I519" t="s">
        <v>18</v>
      </c>
      <c r="J519" s="21">
        <f ca="1">DATE(Table2[[#This Row],[Year]],MONTH(1 &amp; Table2[[#This Row],[Month]]),RANDBETWEEN(1,30))</f>
        <v>45078</v>
      </c>
      <c r="L519" s="2">
        <v>2025</v>
      </c>
      <c r="M519" s="2" t="s">
        <v>51</v>
      </c>
      <c r="N519" s="2">
        <v>427850</v>
      </c>
      <c r="O519" s="2">
        <v>351868</v>
      </c>
      <c r="P519" s="2" t="s">
        <v>53</v>
      </c>
    </row>
    <row r="520" spans="1:16">
      <c r="A520">
        <v>2023</v>
      </c>
      <c r="B520" t="s">
        <v>27</v>
      </c>
      <c r="C520" t="s">
        <v>15</v>
      </c>
      <c r="D520" t="s">
        <v>35</v>
      </c>
      <c r="E520">
        <v>908</v>
      </c>
      <c r="F520">
        <v>8434</v>
      </c>
      <c r="G520">
        <v>4875</v>
      </c>
      <c r="H520">
        <v>579</v>
      </c>
      <c r="I520" t="s">
        <v>18</v>
      </c>
      <c r="J520" s="21">
        <f ca="1">DATE(Table2[[#This Row],[Year]],MONTH(1 &amp; Table2[[#This Row],[Month]]),RANDBETWEEN(1,30))</f>
        <v>45106</v>
      </c>
      <c r="L520" s="2">
        <v>2024</v>
      </c>
      <c r="M520" s="2" t="s">
        <v>52</v>
      </c>
      <c r="N520" s="2">
        <v>455277</v>
      </c>
      <c r="O520" s="2">
        <v>246509</v>
      </c>
      <c r="P520" s="2" t="s">
        <v>49</v>
      </c>
    </row>
    <row r="521" spans="1:16">
      <c r="A521">
        <v>2023</v>
      </c>
      <c r="B521" t="s">
        <v>27</v>
      </c>
      <c r="C521" t="s">
        <v>29</v>
      </c>
      <c r="D521" t="s">
        <v>23</v>
      </c>
      <c r="E521">
        <v>2419</v>
      </c>
      <c r="F521">
        <v>9711</v>
      </c>
      <c r="G521">
        <v>4998</v>
      </c>
      <c r="H521">
        <v>444</v>
      </c>
      <c r="I521" t="s">
        <v>28</v>
      </c>
      <c r="J521" s="21">
        <f ca="1">DATE(Table2[[#This Row],[Year]],MONTH(1 &amp; Table2[[#This Row],[Month]]),RANDBETWEEN(1,30))</f>
        <v>45107</v>
      </c>
      <c r="L521" s="2">
        <v>2022</v>
      </c>
      <c r="M521" s="2" t="s">
        <v>48</v>
      </c>
      <c r="N521" s="2">
        <v>179688</v>
      </c>
      <c r="O521" s="2">
        <v>271934</v>
      </c>
      <c r="P521" s="2" t="s">
        <v>49</v>
      </c>
    </row>
    <row r="522" spans="1:16">
      <c r="A522">
        <v>2023</v>
      </c>
      <c r="B522" t="s">
        <v>27</v>
      </c>
      <c r="C522" t="s">
        <v>29</v>
      </c>
      <c r="D522" t="s">
        <v>42</v>
      </c>
      <c r="E522">
        <v>1051</v>
      </c>
      <c r="F522">
        <v>1527</v>
      </c>
      <c r="G522">
        <v>5925</v>
      </c>
      <c r="H522">
        <v>2732</v>
      </c>
      <c r="I522" t="s">
        <v>18</v>
      </c>
      <c r="J522" s="21">
        <f ca="1">DATE(Table2[[#This Row],[Year]],MONTH(1 &amp; Table2[[#This Row],[Month]]),RANDBETWEEN(1,30))</f>
        <v>45078</v>
      </c>
      <c r="L522" s="2">
        <v>2022</v>
      </c>
      <c r="M522" s="2" t="s">
        <v>52</v>
      </c>
      <c r="N522" s="2">
        <v>213674</v>
      </c>
      <c r="O522" s="2">
        <v>252330</v>
      </c>
      <c r="P522" s="2" t="s">
        <v>49</v>
      </c>
    </row>
    <row r="523" spans="1:16">
      <c r="A523">
        <v>2023</v>
      </c>
      <c r="B523" t="s">
        <v>27</v>
      </c>
      <c r="C523" t="s">
        <v>21</v>
      </c>
      <c r="D523" t="s">
        <v>26</v>
      </c>
      <c r="E523">
        <v>1536</v>
      </c>
      <c r="F523">
        <v>7795</v>
      </c>
      <c r="G523">
        <v>6700</v>
      </c>
      <c r="H523">
        <v>1153</v>
      </c>
      <c r="I523" t="s">
        <v>18</v>
      </c>
      <c r="J523" s="21">
        <f ca="1">DATE(Table2[[#This Row],[Year]],MONTH(1 &amp; Table2[[#This Row],[Month]]),RANDBETWEEN(1,30))</f>
        <v>45091</v>
      </c>
      <c r="L523" s="2">
        <v>2020</v>
      </c>
      <c r="M523" s="2" t="s">
        <v>61</v>
      </c>
      <c r="N523" s="2">
        <v>215587</v>
      </c>
      <c r="O523" s="2">
        <v>411472</v>
      </c>
      <c r="P523" s="2" t="s">
        <v>49</v>
      </c>
    </row>
    <row r="524" spans="1:16">
      <c r="A524">
        <v>2023</v>
      </c>
      <c r="B524" t="s">
        <v>27</v>
      </c>
      <c r="C524" t="s">
        <v>15</v>
      </c>
      <c r="D524" t="s">
        <v>38</v>
      </c>
      <c r="E524">
        <v>3185</v>
      </c>
      <c r="F524">
        <v>8360</v>
      </c>
      <c r="G524">
        <v>2762</v>
      </c>
      <c r="H524">
        <v>865</v>
      </c>
      <c r="I524" t="s">
        <v>28</v>
      </c>
      <c r="J524" s="21">
        <f ca="1">DATE(Table2[[#This Row],[Year]],MONTH(1 &amp; Table2[[#This Row],[Month]]),RANDBETWEEN(1,30))</f>
        <v>45103</v>
      </c>
      <c r="L524" s="2">
        <v>2025</v>
      </c>
      <c r="M524" s="2" t="s">
        <v>61</v>
      </c>
      <c r="N524" s="2">
        <v>250822</v>
      </c>
      <c r="O524" s="2">
        <v>597789</v>
      </c>
      <c r="P524" s="2" t="s">
        <v>59</v>
      </c>
    </row>
    <row r="525" spans="1:16">
      <c r="A525">
        <v>2023</v>
      </c>
      <c r="B525" t="s">
        <v>27</v>
      </c>
      <c r="C525" t="s">
        <v>25</v>
      </c>
      <c r="D525" t="s">
        <v>43</v>
      </c>
      <c r="E525">
        <v>3782</v>
      </c>
      <c r="F525">
        <v>2668</v>
      </c>
      <c r="G525">
        <v>9379</v>
      </c>
      <c r="H525">
        <v>2423</v>
      </c>
      <c r="I525" t="s">
        <v>28</v>
      </c>
      <c r="J525" s="21">
        <f ca="1">DATE(Table2[[#This Row],[Year]],MONTH(1 &amp; Table2[[#This Row],[Month]]),RANDBETWEEN(1,30))</f>
        <v>45103</v>
      </c>
      <c r="L525" s="2">
        <v>2024</v>
      </c>
      <c r="M525" s="2" t="s">
        <v>55</v>
      </c>
      <c r="N525" s="2">
        <v>257328</v>
      </c>
      <c r="O525" s="2">
        <v>270692</v>
      </c>
      <c r="P525" s="2" t="s">
        <v>49</v>
      </c>
    </row>
    <row r="526" spans="1:16">
      <c r="A526">
        <v>2023</v>
      </c>
      <c r="B526" t="s">
        <v>27</v>
      </c>
      <c r="C526" t="s">
        <v>15</v>
      </c>
      <c r="D526" t="s">
        <v>43</v>
      </c>
      <c r="E526">
        <v>1137</v>
      </c>
      <c r="F526">
        <v>5161</v>
      </c>
      <c r="G526">
        <v>9290</v>
      </c>
      <c r="H526">
        <v>1193</v>
      </c>
      <c r="I526" t="s">
        <v>18</v>
      </c>
      <c r="J526" s="21">
        <f ca="1">DATE(Table2[[#This Row],[Year]],MONTH(1 &amp; Table2[[#This Row],[Month]]),RANDBETWEEN(1,30))</f>
        <v>45084</v>
      </c>
      <c r="L526" s="2">
        <v>2022</v>
      </c>
      <c r="M526" s="2" t="s">
        <v>52</v>
      </c>
      <c r="N526" s="2">
        <v>317822</v>
      </c>
      <c r="O526" s="2">
        <v>265160</v>
      </c>
      <c r="P526" s="2" t="s">
        <v>59</v>
      </c>
    </row>
    <row r="527" spans="1:16">
      <c r="A527">
        <v>2023</v>
      </c>
      <c r="B527" t="s">
        <v>27</v>
      </c>
      <c r="C527" t="s">
        <v>10</v>
      </c>
      <c r="D527" t="s">
        <v>42</v>
      </c>
      <c r="E527">
        <v>2029</v>
      </c>
      <c r="F527">
        <v>6492</v>
      </c>
      <c r="G527">
        <v>9711</v>
      </c>
      <c r="H527">
        <v>1866</v>
      </c>
      <c r="I527" t="s">
        <v>12</v>
      </c>
      <c r="J527" s="21">
        <f ca="1">DATE(Table2[[#This Row],[Year]],MONTH(1 &amp; Table2[[#This Row],[Month]]),RANDBETWEEN(1,30))</f>
        <v>45080</v>
      </c>
      <c r="L527" s="2">
        <v>2025</v>
      </c>
      <c r="M527" s="2" t="s">
        <v>51</v>
      </c>
      <c r="N527" s="2">
        <v>163952</v>
      </c>
      <c r="O527" s="2">
        <v>521714</v>
      </c>
      <c r="P527" s="2" t="s">
        <v>59</v>
      </c>
    </row>
    <row r="528" spans="1:16">
      <c r="A528">
        <v>2023</v>
      </c>
      <c r="B528" t="s">
        <v>27</v>
      </c>
      <c r="C528" t="s">
        <v>10</v>
      </c>
      <c r="D528" t="s">
        <v>34</v>
      </c>
      <c r="E528">
        <v>785</v>
      </c>
      <c r="F528">
        <v>7179</v>
      </c>
      <c r="G528">
        <v>2577</v>
      </c>
      <c r="H528">
        <v>1974</v>
      </c>
      <c r="I528" t="s">
        <v>12</v>
      </c>
      <c r="J528" s="21">
        <f ca="1">DATE(Table2[[#This Row],[Year]],MONTH(1 &amp; Table2[[#This Row],[Month]]),RANDBETWEEN(1,30))</f>
        <v>45088</v>
      </c>
      <c r="L528" s="2">
        <v>2021</v>
      </c>
      <c r="M528" s="2" t="s">
        <v>51</v>
      </c>
      <c r="N528" s="2">
        <v>376499</v>
      </c>
      <c r="O528" s="2">
        <v>298591</v>
      </c>
      <c r="P528" s="2" t="s">
        <v>49</v>
      </c>
    </row>
    <row r="529" spans="1:16">
      <c r="A529">
        <v>2023</v>
      </c>
      <c r="B529" t="s">
        <v>27</v>
      </c>
      <c r="C529" t="s">
        <v>25</v>
      </c>
      <c r="D529" t="s">
        <v>30</v>
      </c>
      <c r="E529">
        <v>89</v>
      </c>
      <c r="F529">
        <v>2136</v>
      </c>
      <c r="G529">
        <v>11650</v>
      </c>
      <c r="H529">
        <v>313</v>
      </c>
      <c r="I529" t="s">
        <v>18</v>
      </c>
      <c r="J529" s="21">
        <f ca="1">DATE(Table2[[#This Row],[Year]],MONTH(1 &amp; Table2[[#This Row],[Month]]),RANDBETWEEN(1,30))</f>
        <v>45079</v>
      </c>
      <c r="L529" s="2">
        <v>2023</v>
      </c>
      <c r="M529" s="2" t="s">
        <v>48</v>
      </c>
      <c r="N529" s="2">
        <v>167027</v>
      </c>
      <c r="O529" s="2">
        <v>248805</v>
      </c>
      <c r="P529" s="2" t="s">
        <v>53</v>
      </c>
    </row>
    <row r="530" spans="1:16">
      <c r="A530">
        <v>2023</v>
      </c>
      <c r="B530" t="s">
        <v>40</v>
      </c>
      <c r="C530" t="s">
        <v>21</v>
      </c>
      <c r="D530" t="s">
        <v>17</v>
      </c>
      <c r="E530">
        <v>1394</v>
      </c>
      <c r="F530">
        <v>8326</v>
      </c>
      <c r="G530">
        <v>6938</v>
      </c>
      <c r="H530">
        <v>2910</v>
      </c>
      <c r="I530" t="s">
        <v>28</v>
      </c>
      <c r="J530" s="21">
        <f ca="1">DATE(Table2[[#This Row],[Year]],MONTH(1 &amp; Table2[[#This Row],[Month]]),RANDBETWEEN(1,30))</f>
        <v>45113</v>
      </c>
      <c r="L530" s="2">
        <v>2024</v>
      </c>
      <c r="M530" s="2" t="s">
        <v>60</v>
      </c>
      <c r="N530" s="2">
        <v>224123</v>
      </c>
      <c r="O530" s="2">
        <v>283424</v>
      </c>
      <c r="P530" s="2" t="s">
        <v>50</v>
      </c>
    </row>
    <row r="531" spans="1:16">
      <c r="A531">
        <v>2023</v>
      </c>
      <c r="B531" t="s">
        <v>40</v>
      </c>
      <c r="C531" t="s">
        <v>25</v>
      </c>
      <c r="D531" t="s">
        <v>42</v>
      </c>
      <c r="E531">
        <v>1424</v>
      </c>
      <c r="F531">
        <v>6622</v>
      </c>
      <c r="G531">
        <v>10471</v>
      </c>
      <c r="H531">
        <v>2429</v>
      </c>
      <c r="I531" t="s">
        <v>28</v>
      </c>
      <c r="J531" s="21">
        <f ca="1">DATE(Table2[[#This Row],[Year]],MONTH(1 &amp; Table2[[#This Row],[Month]]),RANDBETWEEN(1,30))</f>
        <v>45112</v>
      </c>
      <c r="L531" s="2">
        <v>2022</v>
      </c>
      <c r="M531" s="2" t="s">
        <v>57</v>
      </c>
      <c r="N531" s="2">
        <v>301338</v>
      </c>
      <c r="O531" s="2">
        <v>661866</v>
      </c>
      <c r="P531" s="2" t="s">
        <v>59</v>
      </c>
    </row>
    <row r="532" spans="1:16">
      <c r="A532">
        <v>2023</v>
      </c>
      <c r="B532" t="s">
        <v>40</v>
      </c>
      <c r="C532" t="s">
        <v>15</v>
      </c>
      <c r="D532" t="s">
        <v>20</v>
      </c>
      <c r="E532">
        <v>1868</v>
      </c>
      <c r="F532">
        <v>8830</v>
      </c>
      <c r="G532">
        <v>9780</v>
      </c>
      <c r="H532">
        <v>1829</v>
      </c>
      <c r="I532" t="s">
        <v>12</v>
      </c>
      <c r="J532" s="21">
        <f ca="1">DATE(Table2[[#This Row],[Year]],MONTH(1 &amp; Table2[[#This Row],[Month]]),RANDBETWEEN(1,30))</f>
        <v>45114</v>
      </c>
      <c r="L532" s="2">
        <v>2022</v>
      </c>
      <c r="M532" s="2" t="s">
        <v>54</v>
      </c>
      <c r="N532" s="2">
        <v>418576</v>
      </c>
      <c r="O532" s="2">
        <v>610736</v>
      </c>
      <c r="P532" s="2" t="s">
        <v>49</v>
      </c>
    </row>
    <row r="533" spans="1:16">
      <c r="A533">
        <v>2023</v>
      </c>
      <c r="B533" t="s">
        <v>40</v>
      </c>
      <c r="C533" t="s">
        <v>25</v>
      </c>
      <c r="D533" t="s">
        <v>42</v>
      </c>
      <c r="E533">
        <v>777</v>
      </c>
      <c r="F533">
        <v>6385</v>
      </c>
      <c r="G533">
        <v>2811</v>
      </c>
      <c r="H533">
        <v>638</v>
      </c>
      <c r="I533" t="s">
        <v>12</v>
      </c>
      <c r="J533" s="21">
        <f ca="1">DATE(Table2[[#This Row],[Year]],MONTH(1 &amp; Table2[[#This Row],[Month]]),RANDBETWEEN(1,30))</f>
        <v>45122</v>
      </c>
      <c r="L533" s="2">
        <v>2020</v>
      </c>
      <c r="M533" s="2" t="s">
        <v>58</v>
      </c>
      <c r="N533" s="2">
        <v>395788</v>
      </c>
      <c r="O533" s="2">
        <v>377032</v>
      </c>
      <c r="P533" s="2" t="s">
        <v>59</v>
      </c>
    </row>
    <row r="534" spans="1:16">
      <c r="A534">
        <v>2023</v>
      </c>
      <c r="B534" t="s">
        <v>40</v>
      </c>
      <c r="C534" t="s">
        <v>15</v>
      </c>
      <c r="D534" t="s">
        <v>43</v>
      </c>
      <c r="E534">
        <v>1168</v>
      </c>
      <c r="F534">
        <v>5125</v>
      </c>
      <c r="G534">
        <v>10275</v>
      </c>
      <c r="H534">
        <v>1369</v>
      </c>
      <c r="I534" t="s">
        <v>12</v>
      </c>
      <c r="J534" s="21">
        <f ca="1">DATE(Table2[[#This Row],[Year]],MONTH(1 &amp; Table2[[#This Row],[Month]]),RANDBETWEEN(1,30))</f>
        <v>45119</v>
      </c>
      <c r="L534" s="2">
        <v>2025</v>
      </c>
      <c r="M534" s="2" t="s">
        <v>56</v>
      </c>
      <c r="N534" s="2">
        <v>358214</v>
      </c>
      <c r="O534" s="2">
        <v>527910</v>
      </c>
      <c r="P534" s="2" t="s">
        <v>50</v>
      </c>
    </row>
    <row r="535" spans="1:16">
      <c r="A535">
        <v>2023</v>
      </c>
      <c r="B535" t="s">
        <v>40</v>
      </c>
      <c r="C535" t="s">
        <v>23</v>
      </c>
      <c r="D535" t="s">
        <v>17</v>
      </c>
      <c r="E535">
        <v>946</v>
      </c>
      <c r="F535">
        <v>3678</v>
      </c>
      <c r="G535">
        <v>6455</v>
      </c>
      <c r="H535">
        <v>2444</v>
      </c>
      <c r="I535" t="s">
        <v>18</v>
      </c>
      <c r="J535" s="21">
        <f ca="1">DATE(Table2[[#This Row],[Year]],MONTH(1 &amp; Table2[[#This Row],[Month]]),RANDBETWEEN(1,30))</f>
        <v>45128</v>
      </c>
      <c r="L535" s="2">
        <v>2020</v>
      </c>
      <c r="M535" s="2" t="s">
        <v>52</v>
      </c>
      <c r="N535" s="2">
        <v>162309</v>
      </c>
      <c r="O535" s="2">
        <v>468638</v>
      </c>
      <c r="P535" s="2" t="s">
        <v>50</v>
      </c>
    </row>
    <row r="536" spans="1:16">
      <c r="A536">
        <v>2023</v>
      </c>
      <c r="B536" t="s">
        <v>40</v>
      </c>
      <c r="C536" t="s">
        <v>29</v>
      </c>
      <c r="D536" t="s">
        <v>23</v>
      </c>
      <c r="E536">
        <v>3771</v>
      </c>
      <c r="F536">
        <v>9609</v>
      </c>
      <c r="G536">
        <v>7213</v>
      </c>
      <c r="H536">
        <v>595</v>
      </c>
      <c r="I536" t="s">
        <v>28</v>
      </c>
      <c r="J536" s="21">
        <f ca="1">DATE(Table2[[#This Row],[Year]],MONTH(1 &amp; Table2[[#This Row],[Month]]),RANDBETWEEN(1,30))</f>
        <v>45108</v>
      </c>
      <c r="L536" s="2">
        <v>2022</v>
      </c>
      <c r="M536" s="2" t="s">
        <v>61</v>
      </c>
      <c r="N536" s="2">
        <v>318818</v>
      </c>
      <c r="O536" s="2">
        <v>538562</v>
      </c>
      <c r="P536" s="2" t="s">
        <v>59</v>
      </c>
    </row>
    <row r="537" spans="1:16">
      <c r="A537">
        <v>2023</v>
      </c>
      <c r="B537" t="s">
        <v>31</v>
      </c>
      <c r="C537" t="s">
        <v>29</v>
      </c>
      <c r="D537" t="s">
        <v>23</v>
      </c>
      <c r="E537">
        <v>3675</v>
      </c>
      <c r="F537">
        <v>5135</v>
      </c>
      <c r="G537">
        <v>8448</v>
      </c>
      <c r="H537">
        <v>1079</v>
      </c>
      <c r="I537" t="s">
        <v>12</v>
      </c>
      <c r="J537" s="21">
        <f ca="1">DATE(Table2[[#This Row],[Year]],MONTH(1 &amp; Table2[[#This Row],[Month]]),RANDBETWEEN(1,30))</f>
        <v>45146</v>
      </c>
      <c r="L537" s="2">
        <v>2021</v>
      </c>
      <c r="M537" s="2" t="s">
        <v>56</v>
      </c>
      <c r="N537" s="2">
        <v>134979</v>
      </c>
      <c r="O537" s="2">
        <v>541336</v>
      </c>
      <c r="P537" s="2" t="s">
        <v>50</v>
      </c>
    </row>
    <row r="538" spans="1:16">
      <c r="A538">
        <v>2023</v>
      </c>
      <c r="B538" t="s">
        <v>31</v>
      </c>
      <c r="C538" t="s">
        <v>23</v>
      </c>
      <c r="D538" t="s">
        <v>23</v>
      </c>
      <c r="E538">
        <v>1969</v>
      </c>
      <c r="F538">
        <v>2687</v>
      </c>
      <c r="G538">
        <v>2675</v>
      </c>
      <c r="H538">
        <v>679</v>
      </c>
      <c r="I538" t="s">
        <v>28</v>
      </c>
      <c r="J538" s="21">
        <f ca="1">DATE(Table2[[#This Row],[Year]],MONTH(1 &amp; Table2[[#This Row],[Month]]),RANDBETWEEN(1,30))</f>
        <v>45159</v>
      </c>
      <c r="L538" s="2">
        <v>2025</v>
      </c>
      <c r="M538" s="2" t="s">
        <v>52</v>
      </c>
      <c r="N538" s="2">
        <v>250945</v>
      </c>
      <c r="O538" s="2">
        <v>514367</v>
      </c>
      <c r="P538" s="2" t="s">
        <v>59</v>
      </c>
    </row>
    <row r="539" spans="1:16">
      <c r="A539">
        <v>2023</v>
      </c>
      <c r="B539" t="s">
        <v>31</v>
      </c>
      <c r="C539" t="s">
        <v>21</v>
      </c>
      <c r="D539" t="s">
        <v>20</v>
      </c>
      <c r="E539">
        <v>1990</v>
      </c>
      <c r="F539">
        <v>9610</v>
      </c>
      <c r="G539">
        <v>7391</v>
      </c>
      <c r="H539">
        <v>1690</v>
      </c>
      <c r="I539" t="s">
        <v>12</v>
      </c>
      <c r="J539" s="21">
        <f ca="1">DATE(Table2[[#This Row],[Year]],MONTH(1 &amp; Table2[[#This Row],[Month]]),RANDBETWEEN(1,30))</f>
        <v>45148</v>
      </c>
      <c r="L539" s="2">
        <v>2022</v>
      </c>
      <c r="M539" s="2" t="s">
        <v>58</v>
      </c>
      <c r="N539" s="2">
        <v>265407</v>
      </c>
      <c r="O539" s="2">
        <v>333051</v>
      </c>
      <c r="P539" s="2" t="s">
        <v>49</v>
      </c>
    </row>
    <row r="540" spans="1:16">
      <c r="A540">
        <v>2023</v>
      </c>
      <c r="B540" t="s">
        <v>31</v>
      </c>
      <c r="C540" t="s">
        <v>15</v>
      </c>
      <c r="D540" t="s">
        <v>34</v>
      </c>
      <c r="E540">
        <v>3675</v>
      </c>
      <c r="F540">
        <v>7849</v>
      </c>
      <c r="G540">
        <v>11437</v>
      </c>
      <c r="H540">
        <v>1089</v>
      </c>
      <c r="I540" t="s">
        <v>18</v>
      </c>
      <c r="J540" s="21">
        <f ca="1">DATE(Table2[[#This Row],[Year]],MONTH(1 &amp; Table2[[#This Row],[Month]]),RANDBETWEEN(1,30))</f>
        <v>45166</v>
      </c>
      <c r="L540" s="2">
        <v>2021</v>
      </c>
      <c r="M540" s="2" t="s">
        <v>51</v>
      </c>
      <c r="N540" s="2">
        <v>115925</v>
      </c>
      <c r="O540" s="2">
        <v>219503</v>
      </c>
      <c r="P540" s="2" t="s">
        <v>50</v>
      </c>
    </row>
    <row r="541" spans="1:16">
      <c r="A541">
        <v>2023</v>
      </c>
      <c r="B541" t="s">
        <v>31</v>
      </c>
      <c r="C541" t="s">
        <v>15</v>
      </c>
      <c r="D541" t="s">
        <v>11</v>
      </c>
      <c r="E541">
        <v>3242</v>
      </c>
      <c r="F541">
        <v>8185</v>
      </c>
      <c r="G541">
        <v>9916</v>
      </c>
      <c r="H541">
        <v>1056</v>
      </c>
      <c r="I541" t="s">
        <v>12</v>
      </c>
      <c r="J541" s="21">
        <f ca="1">DATE(Table2[[#This Row],[Year]],MONTH(1 &amp; Table2[[#This Row],[Month]]),RANDBETWEEN(1,30))</f>
        <v>45155</v>
      </c>
      <c r="L541" s="2">
        <v>2022</v>
      </c>
      <c r="M541" s="2" t="s">
        <v>61</v>
      </c>
      <c r="N541" s="2">
        <v>209595</v>
      </c>
      <c r="O541" s="2">
        <v>427783</v>
      </c>
      <c r="P541" s="2" t="s">
        <v>59</v>
      </c>
    </row>
    <row r="542" spans="1:16">
      <c r="A542">
        <v>2023</v>
      </c>
      <c r="B542" t="s">
        <v>31</v>
      </c>
      <c r="C542" t="s">
        <v>23</v>
      </c>
      <c r="D542" t="s">
        <v>43</v>
      </c>
      <c r="E542">
        <v>1978</v>
      </c>
      <c r="F542">
        <v>9101</v>
      </c>
      <c r="G542">
        <v>9517</v>
      </c>
      <c r="H542">
        <v>2245</v>
      </c>
      <c r="I542" t="s">
        <v>28</v>
      </c>
      <c r="J542" s="21">
        <f ca="1">DATE(Table2[[#This Row],[Year]],MONTH(1 &amp; Table2[[#This Row],[Month]]),RANDBETWEEN(1,30))</f>
        <v>45167</v>
      </c>
      <c r="L542" s="2">
        <v>2020</v>
      </c>
      <c r="M542" s="2" t="s">
        <v>54</v>
      </c>
      <c r="N542" s="2">
        <v>482260</v>
      </c>
      <c r="O542" s="2">
        <v>645487</v>
      </c>
      <c r="P542" s="2" t="s">
        <v>59</v>
      </c>
    </row>
    <row r="543" spans="1:16">
      <c r="A543">
        <v>2023</v>
      </c>
      <c r="B543" t="s">
        <v>31</v>
      </c>
      <c r="C543" t="s">
        <v>15</v>
      </c>
      <c r="D543" t="s">
        <v>30</v>
      </c>
      <c r="E543">
        <v>710</v>
      </c>
      <c r="F543">
        <v>8996</v>
      </c>
      <c r="G543">
        <v>8712</v>
      </c>
      <c r="H543">
        <v>732</v>
      </c>
      <c r="I543" t="s">
        <v>12</v>
      </c>
      <c r="J543" s="21">
        <f ca="1">DATE(Table2[[#This Row],[Year]],MONTH(1 &amp; Table2[[#This Row],[Month]]),RANDBETWEEN(1,30))</f>
        <v>45158</v>
      </c>
      <c r="L543" s="2">
        <v>2024</v>
      </c>
      <c r="M543" s="2" t="s">
        <v>48</v>
      </c>
      <c r="N543" s="2">
        <v>481453</v>
      </c>
      <c r="O543" s="2">
        <v>484749</v>
      </c>
      <c r="P543" s="2" t="s">
        <v>53</v>
      </c>
    </row>
    <row r="544" spans="1:16">
      <c r="A544">
        <v>2023</v>
      </c>
      <c r="B544" t="s">
        <v>31</v>
      </c>
      <c r="C544" t="s">
        <v>29</v>
      </c>
      <c r="D544" t="s">
        <v>39</v>
      </c>
      <c r="E544">
        <v>90</v>
      </c>
      <c r="F544">
        <v>5145</v>
      </c>
      <c r="G544">
        <v>10901</v>
      </c>
      <c r="H544">
        <v>1630</v>
      </c>
      <c r="I544" t="s">
        <v>18</v>
      </c>
      <c r="J544" s="21">
        <f ca="1">DATE(Table2[[#This Row],[Year]],MONTH(1 &amp; Table2[[#This Row],[Month]]),RANDBETWEEN(1,30))</f>
        <v>45157</v>
      </c>
      <c r="L544" s="2">
        <v>2025</v>
      </c>
      <c r="M544" s="2" t="s">
        <v>57</v>
      </c>
      <c r="N544" s="2">
        <v>240931</v>
      </c>
      <c r="O544" s="2">
        <v>616196</v>
      </c>
      <c r="P544" s="2" t="s">
        <v>59</v>
      </c>
    </row>
    <row r="545" spans="1:16">
      <c r="A545">
        <v>2023</v>
      </c>
      <c r="B545" t="s">
        <v>31</v>
      </c>
      <c r="C545" t="s">
        <v>21</v>
      </c>
      <c r="D545" t="s">
        <v>37</v>
      </c>
      <c r="E545">
        <v>3806</v>
      </c>
      <c r="F545">
        <v>6061</v>
      </c>
      <c r="G545">
        <v>4994</v>
      </c>
      <c r="H545">
        <v>2334</v>
      </c>
      <c r="I545" t="s">
        <v>12</v>
      </c>
      <c r="J545" s="21">
        <f ca="1">DATE(Table2[[#This Row],[Year]],MONTH(1 &amp; Table2[[#This Row],[Month]]),RANDBETWEEN(1,30))</f>
        <v>45162</v>
      </c>
      <c r="L545" s="2">
        <v>2024</v>
      </c>
      <c r="M545" s="2" t="s">
        <v>51</v>
      </c>
      <c r="N545" s="2">
        <v>117240</v>
      </c>
      <c r="O545" s="2">
        <v>695812</v>
      </c>
      <c r="P545" s="2" t="s">
        <v>59</v>
      </c>
    </row>
    <row r="546" spans="1:16">
      <c r="A546">
        <v>2023</v>
      </c>
      <c r="B546" t="s">
        <v>31</v>
      </c>
      <c r="C546" t="s">
        <v>10</v>
      </c>
      <c r="D546" t="s">
        <v>16</v>
      </c>
      <c r="E546">
        <v>2903</v>
      </c>
      <c r="F546">
        <v>9945</v>
      </c>
      <c r="G546">
        <v>9962</v>
      </c>
      <c r="H546">
        <v>522</v>
      </c>
      <c r="I546" t="s">
        <v>12</v>
      </c>
      <c r="J546" s="21">
        <f ca="1">DATE(Table2[[#This Row],[Year]],MONTH(1 &amp; Table2[[#This Row],[Month]]),RANDBETWEEN(1,30))</f>
        <v>45140</v>
      </c>
      <c r="L546" s="2">
        <v>2020</v>
      </c>
      <c r="M546" s="2" t="s">
        <v>61</v>
      </c>
      <c r="N546" s="2">
        <v>171638</v>
      </c>
      <c r="O546" s="2">
        <v>281808</v>
      </c>
      <c r="P546" s="2" t="s">
        <v>49</v>
      </c>
    </row>
    <row r="547" spans="1:16">
      <c r="A547">
        <v>2023</v>
      </c>
      <c r="B547" t="s">
        <v>31</v>
      </c>
      <c r="C547" t="s">
        <v>29</v>
      </c>
      <c r="D547" t="s">
        <v>35</v>
      </c>
      <c r="E547">
        <v>2133</v>
      </c>
      <c r="F547">
        <v>9466</v>
      </c>
      <c r="G547">
        <v>6763</v>
      </c>
      <c r="H547">
        <v>2808</v>
      </c>
      <c r="I547" t="s">
        <v>28</v>
      </c>
      <c r="J547" s="21">
        <f ca="1">DATE(Table2[[#This Row],[Year]],MONTH(1 &amp; Table2[[#This Row],[Month]]),RANDBETWEEN(1,30))</f>
        <v>45148</v>
      </c>
      <c r="L547" s="2">
        <v>2025</v>
      </c>
      <c r="M547" s="2" t="s">
        <v>57</v>
      </c>
      <c r="N547" s="2">
        <v>256887</v>
      </c>
      <c r="O547" s="2">
        <v>545889</v>
      </c>
      <c r="P547" s="2" t="s">
        <v>49</v>
      </c>
    </row>
    <row r="548" spans="1:16">
      <c r="A548">
        <v>2023</v>
      </c>
      <c r="B548" t="s">
        <v>31</v>
      </c>
      <c r="C548" t="s">
        <v>29</v>
      </c>
      <c r="D548" t="s">
        <v>42</v>
      </c>
      <c r="E548">
        <v>2877</v>
      </c>
      <c r="F548">
        <v>7499</v>
      </c>
      <c r="G548">
        <v>8620</v>
      </c>
      <c r="H548">
        <v>1537</v>
      </c>
      <c r="I548" t="s">
        <v>18</v>
      </c>
      <c r="J548" s="21">
        <f ca="1">DATE(Table2[[#This Row],[Year]],MONTH(1 &amp; Table2[[#This Row],[Month]]),RANDBETWEEN(1,30))</f>
        <v>45141</v>
      </c>
      <c r="L548" s="2">
        <v>2025</v>
      </c>
      <c r="M548" s="2" t="s">
        <v>51</v>
      </c>
      <c r="N548" s="2">
        <v>479112</v>
      </c>
      <c r="O548" s="2">
        <v>537147</v>
      </c>
      <c r="P548" s="2" t="s">
        <v>50</v>
      </c>
    </row>
    <row r="549" spans="1:16">
      <c r="A549">
        <v>2023</v>
      </c>
      <c r="B549" t="s">
        <v>31</v>
      </c>
      <c r="C549" t="s">
        <v>15</v>
      </c>
      <c r="D549" t="s">
        <v>17</v>
      </c>
      <c r="E549">
        <v>1268</v>
      </c>
      <c r="F549">
        <v>8414</v>
      </c>
      <c r="G549">
        <v>3657</v>
      </c>
      <c r="H549">
        <v>2418</v>
      </c>
      <c r="I549" t="s">
        <v>28</v>
      </c>
      <c r="J549" s="21">
        <f ca="1">DATE(Table2[[#This Row],[Year]],MONTH(1 &amp; Table2[[#This Row],[Month]]),RANDBETWEEN(1,30))</f>
        <v>45155</v>
      </c>
      <c r="L549" s="2">
        <v>2025</v>
      </c>
      <c r="M549" s="2" t="s">
        <v>55</v>
      </c>
      <c r="N549" s="2">
        <v>156480</v>
      </c>
      <c r="O549" s="2">
        <v>689978</v>
      </c>
      <c r="P549" s="2" t="s">
        <v>50</v>
      </c>
    </row>
    <row r="550" spans="1:16">
      <c r="A550">
        <v>2023</v>
      </c>
      <c r="B550" t="s">
        <v>31</v>
      </c>
      <c r="C550" t="s">
        <v>25</v>
      </c>
      <c r="D550" t="s">
        <v>39</v>
      </c>
      <c r="E550">
        <v>1022</v>
      </c>
      <c r="F550">
        <v>1600</v>
      </c>
      <c r="G550">
        <v>6929</v>
      </c>
      <c r="H550">
        <v>553</v>
      </c>
      <c r="I550" t="s">
        <v>12</v>
      </c>
      <c r="J550" s="21">
        <f ca="1">DATE(Table2[[#This Row],[Year]],MONTH(1 &amp; Table2[[#This Row],[Month]]),RANDBETWEEN(1,30))</f>
        <v>45148</v>
      </c>
      <c r="L550" s="2">
        <v>2023</v>
      </c>
      <c r="M550" s="2" t="s">
        <v>48</v>
      </c>
      <c r="N550" s="2">
        <v>405406</v>
      </c>
      <c r="O550" s="2">
        <v>692800</v>
      </c>
      <c r="P550" s="2" t="s">
        <v>53</v>
      </c>
    </row>
    <row r="551" spans="1:16">
      <c r="A551">
        <v>2023</v>
      </c>
      <c r="B551" t="s">
        <v>13</v>
      </c>
      <c r="C551" t="s">
        <v>23</v>
      </c>
      <c r="D551" t="s">
        <v>22</v>
      </c>
      <c r="E551">
        <v>3132</v>
      </c>
      <c r="F551">
        <v>7247</v>
      </c>
      <c r="G551">
        <v>3548</v>
      </c>
      <c r="H551">
        <v>342</v>
      </c>
      <c r="I551" t="s">
        <v>18</v>
      </c>
      <c r="J551" s="21">
        <f ca="1">DATE(Table2[[#This Row],[Year]],MONTH(1 &amp; Table2[[#This Row],[Month]]),RANDBETWEEN(1,30))</f>
        <v>45196</v>
      </c>
      <c r="L551" s="2">
        <v>2025</v>
      </c>
      <c r="M551" s="2" t="s">
        <v>55</v>
      </c>
      <c r="N551" s="2">
        <v>143473</v>
      </c>
      <c r="O551" s="2">
        <v>543339</v>
      </c>
      <c r="P551" s="2" t="s">
        <v>59</v>
      </c>
    </row>
    <row r="552" spans="1:16">
      <c r="A552">
        <v>2023</v>
      </c>
      <c r="B552" t="s">
        <v>13</v>
      </c>
      <c r="C552" t="s">
        <v>21</v>
      </c>
      <c r="D552" t="s">
        <v>17</v>
      </c>
      <c r="E552">
        <v>893</v>
      </c>
      <c r="F552">
        <v>1312</v>
      </c>
      <c r="G552">
        <v>11208</v>
      </c>
      <c r="H552">
        <v>1010</v>
      </c>
      <c r="I552" t="s">
        <v>28</v>
      </c>
      <c r="J552" s="21">
        <f ca="1">DATE(Table2[[#This Row],[Year]],MONTH(1 &amp; Table2[[#This Row],[Month]]),RANDBETWEEN(1,30))</f>
        <v>45170</v>
      </c>
      <c r="L552" s="2">
        <v>2022</v>
      </c>
      <c r="M552" s="2" t="s">
        <v>51</v>
      </c>
      <c r="N552" s="2">
        <v>492503</v>
      </c>
      <c r="O552" s="2">
        <v>321807</v>
      </c>
      <c r="P552" s="2" t="s">
        <v>53</v>
      </c>
    </row>
    <row r="553" spans="1:16">
      <c r="A553">
        <v>2023</v>
      </c>
      <c r="B553" t="s">
        <v>13</v>
      </c>
      <c r="C553" t="s">
        <v>29</v>
      </c>
      <c r="D553" t="s">
        <v>11</v>
      </c>
      <c r="E553">
        <v>641</v>
      </c>
      <c r="F553">
        <v>1837</v>
      </c>
      <c r="G553">
        <v>10480</v>
      </c>
      <c r="H553">
        <v>2800</v>
      </c>
      <c r="I553" t="s">
        <v>28</v>
      </c>
      <c r="J553" s="21">
        <f ca="1">DATE(Table2[[#This Row],[Year]],MONTH(1 &amp; Table2[[#This Row],[Month]]),RANDBETWEEN(1,30))</f>
        <v>45190</v>
      </c>
      <c r="L553" s="2">
        <v>2025</v>
      </c>
      <c r="M553" s="2" t="s">
        <v>51</v>
      </c>
      <c r="N553" s="2">
        <v>252647</v>
      </c>
      <c r="O553" s="2">
        <v>599278</v>
      </c>
      <c r="P553" s="2" t="s">
        <v>50</v>
      </c>
    </row>
    <row r="554" spans="1:16">
      <c r="A554">
        <v>2023</v>
      </c>
      <c r="B554" t="s">
        <v>13</v>
      </c>
      <c r="C554" t="s">
        <v>21</v>
      </c>
      <c r="D554" t="s">
        <v>38</v>
      </c>
      <c r="E554">
        <v>3549</v>
      </c>
      <c r="F554">
        <v>2327</v>
      </c>
      <c r="G554">
        <v>4510</v>
      </c>
      <c r="H554">
        <v>1351</v>
      </c>
      <c r="I554" t="s">
        <v>12</v>
      </c>
      <c r="J554" s="21">
        <f ca="1">DATE(Table2[[#This Row],[Year]],MONTH(1 &amp; Table2[[#This Row],[Month]]),RANDBETWEEN(1,30))</f>
        <v>45176</v>
      </c>
      <c r="L554" s="2">
        <v>2025</v>
      </c>
      <c r="M554" s="2" t="s">
        <v>57</v>
      </c>
      <c r="N554" s="2">
        <v>410094</v>
      </c>
      <c r="O554" s="2">
        <v>253515</v>
      </c>
      <c r="P554" s="2" t="s">
        <v>49</v>
      </c>
    </row>
    <row r="555" spans="1:16">
      <c r="A555">
        <v>2023</v>
      </c>
      <c r="B555" t="s">
        <v>13</v>
      </c>
      <c r="C555" t="s">
        <v>15</v>
      </c>
      <c r="D555" t="s">
        <v>30</v>
      </c>
      <c r="E555">
        <v>1420</v>
      </c>
      <c r="F555">
        <v>8921</v>
      </c>
      <c r="G555">
        <v>2625</v>
      </c>
      <c r="H555">
        <v>1351</v>
      </c>
      <c r="I555" t="s">
        <v>12</v>
      </c>
      <c r="J555" s="21">
        <f ca="1">DATE(Table2[[#This Row],[Year]],MONTH(1 &amp; Table2[[#This Row],[Month]]),RANDBETWEEN(1,30))</f>
        <v>45196</v>
      </c>
      <c r="L555" s="2">
        <v>2024</v>
      </c>
      <c r="M555" s="2" t="s">
        <v>51</v>
      </c>
      <c r="N555" s="2">
        <v>237036</v>
      </c>
      <c r="O555" s="2">
        <v>590350</v>
      </c>
      <c r="P555" s="2" t="s">
        <v>59</v>
      </c>
    </row>
    <row r="556" spans="1:16">
      <c r="A556">
        <v>2023</v>
      </c>
      <c r="B556" t="s">
        <v>13</v>
      </c>
      <c r="C556" t="s">
        <v>23</v>
      </c>
      <c r="D556" t="s">
        <v>35</v>
      </c>
      <c r="E556">
        <v>3081</v>
      </c>
      <c r="F556">
        <v>6812</v>
      </c>
      <c r="G556">
        <v>8360</v>
      </c>
      <c r="H556">
        <v>2999</v>
      </c>
      <c r="I556" t="s">
        <v>18</v>
      </c>
      <c r="J556" s="21">
        <f ca="1">DATE(Table2[[#This Row],[Year]],MONTH(1 &amp; Table2[[#This Row],[Month]]),RANDBETWEEN(1,30))</f>
        <v>45185</v>
      </c>
      <c r="L556" s="2">
        <v>2024</v>
      </c>
      <c r="M556" s="2" t="s">
        <v>48</v>
      </c>
      <c r="N556" s="2">
        <v>351068</v>
      </c>
      <c r="O556" s="2">
        <v>655098</v>
      </c>
      <c r="P556" s="2" t="s">
        <v>50</v>
      </c>
    </row>
    <row r="557" spans="1:16">
      <c r="A557">
        <v>2023</v>
      </c>
      <c r="B557" t="s">
        <v>13</v>
      </c>
      <c r="C557" t="s">
        <v>25</v>
      </c>
      <c r="D557" t="s">
        <v>37</v>
      </c>
      <c r="E557">
        <v>441</v>
      </c>
      <c r="F557">
        <v>7017</v>
      </c>
      <c r="G557">
        <v>3717</v>
      </c>
      <c r="H557">
        <v>2019</v>
      </c>
      <c r="I557" t="s">
        <v>18</v>
      </c>
      <c r="J557" s="21">
        <f ca="1">DATE(Table2[[#This Row],[Year]],MONTH(1 &amp; Table2[[#This Row],[Month]]),RANDBETWEEN(1,30))</f>
        <v>45170</v>
      </c>
      <c r="L557" s="2">
        <v>2021</v>
      </c>
      <c r="M557" s="2" t="s">
        <v>54</v>
      </c>
      <c r="N557" s="2">
        <v>176806</v>
      </c>
      <c r="O557" s="2">
        <v>391417</v>
      </c>
      <c r="P557" s="2" t="s">
        <v>50</v>
      </c>
    </row>
    <row r="558" spans="1:16">
      <c r="A558">
        <v>2023</v>
      </c>
      <c r="B558" t="s">
        <v>13</v>
      </c>
      <c r="C558" t="s">
        <v>29</v>
      </c>
      <c r="D558" t="s">
        <v>39</v>
      </c>
      <c r="E558">
        <v>2519</v>
      </c>
      <c r="F558">
        <v>4424</v>
      </c>
      <c r="G558">
        <v>6336</v>
      </c>
      <c r="H558">
        <v>652</v>
      </c>
      <c r="I558" t="s">
        <v>18</v>
      </c>
      <c r="J558" s="21">
        <f ca="1">DATE(Table2[[#This Row],[Year]],MONTH(1 &amp; Table2[[#This Row],[Month]]),RANDBETWEEN(1,30))</f>
        <v>45184</v>
      </c>
      <c r="L558" s="2">
        <v>2023</v>
      </c>
      <c r="M558" s="2" t="s">
        <v>51</v>
      </c>
      <c r="N558" s="2">
        <v>158408</v>
      </c>
      <c r="O558" s="2">
        <v>515318</v>
      </c>
      <c r="P558" s="2" t="s">
        <v>50</v>
      </c>
    </row>
    <row r="559" spans="1:16">
      <c r="A559">
        <v>2023</v>
      </c>
      <c r="B559" t="s">
        <v>13</v>
      </c>
      <c r="C559" t="s">
        <v>25</v>
      </c>
      <c r="D559" t="s">
        <v>22</v>
      </c>
      <c r="E559">
        <v>2894</v>
      </c>
      <c r="F559">
        <v>2430</v>
      </c>
      <c r="G559">
        <v>8936</v>
      </c>
      <c r="H559">
        <v>388</v>
      </c>
      <c r="I559" t="s">
        <v>28</v>
      </c>
      <c r="J559" s="21">
        <f ca="1">DATE(Table2[[#This Row],[Year]],MONTH(1 &amp; Table2[[#This Row],[Month]]),RANDBETWEEN(1,30))</f>
        <v>45183</v>
      </c>
      <c r="L559" s="2">
        <v>2021</v>
      </c>
      <c r="M559" s="2" t="s">
        <v>54</v>
      </c>
      <c r="N559" s="2">
        <v>475226</v>
      </c>
      <c r="O559" s="2">
        <v>415071</v>
      </c>
      <c r="P559" s="2" t="s">
        <v>53</v>
      </c>
    </row>
    <row r="560" spans="1:16">
      <c r="A560">
        <v>2023</v>
      </c>
      <c r="B560" t="s">
        <v>13</v>
      </c>
      <c r="C560" t="s">
        <v>15</v>
      </c>
      <c r="D560" t="s">
        <v>39</v>
      </c>
      <c r="E560">
        <v>2381</v>
      </c>
      <c r="F560">
        <v>4573</v>
      </c>
      <c r="G560">
        <v>10379</v>
      </c>
      <c r="H560">
        <v>2059</v>
      </c>
      <c r="I560" t="s">
        <v>12</v>
      </c>
      <c r="J560" s="21">
        <f ca="1">DATE(Table2[[#This Row],[Year]],MONTH(1 &amp; Table2[[#This Row],[Month]]),RANDBETWEEN(1,30))</f>
        <v>45174</v>
      </c>
      <c r="L560" s="2">
        <v>2022</v>
      </c>
      <c r="M560" s="2" t="s">
        <v>51</v>
      </c>
      <c r="N560" s="2">
        <v>467059</v>
      </c>
      <c r="O560" s="2">
        <v>418883</v>
      </c>
      <c r="P560" s="2" t="s">
        <v>50</v>
      </c>
    </row>
    <row r="561" spans="1:16">
      <c r="A561">
        <v>2023</v>
      </c>
      <c r="B561" t="s">
        <v>24</v>
      </c>
      <c r="C561" t="s">
        <v>10</v>
      </c>
      <c r="D561" t="s">
        <v>22</v>
      </c>
      <c r="E561">
        <v>2605</v>
      </c>
      <c r="F561">
        <v>6852</v>
      </c>
      <c r="G561">
        <v>2627</v>
      </c>
      <c r="H561">
        <v>375</v>
      </c>
      <c r="I561" t="s">
        <v>12</v>
      </c>
      <c r="J561" s="21">
        <f ca="1">DATE(Table2[[#This Row],[Year]],MONTH(1 &amp; Table2[[#This Row],[Month]]),RANDBETWEEN(1,30))</f>
        <v>45203</v>
      </c>
      <c r="L561" s="2">
        <v>2022</v>
      </c>
      <c r="M561" s="2" t="s">
        <v>55</v>
      </c>
      <c r="N561" s="2">
        <v>454988</v>
      </c>
      <c r="O561" s="2">
        <v>355185</v>
      </c>
      <c r="P561" s="2" t="s">
        <v>53</v>
      </c>
    </row>
    <row r="562" spans="1:16">
      <c r="A562">
        <v>2023</v>
      </c>
      <c r="B562" t="s">
        <v>24</v>
      </c>
      <c r="C562" t="s">
        <v>15</v>
      </c>
      <c r="D562" t="s">
        <v>20</v>
      </c>
      <c r="E562">
        <v>2741</v>
      </c>
      <c r="F562">
        <v>4492</v>
      </c>
      <c r="G562">
        <v>9728</v>
      </c>
      <c r="H562">
        <v>906</v>
      </c>
      <c r="I562" t="s">
        <v>12</v>
      </c>
      <c r="J562" s="21">
        <f ca="1">DATE(Table2[[#This Row],[Year]],MONTH(1 &amp; Table2[[#This Row],[Month]]),RANDBETWEEN(1,30))</f>
        <v>45207</v>
      </c>
      <c r="L562" s="2">
        <v>2021</v>
      </c>
      <c r="M562" s="2" t="s">
        <v>60</v>
      </c>
      <c r="N562" s="2">
        <v>350173</v>
      </c>
      <c r="O562" s="2">
        <v>581065</v>
      </c>
      <c r="P562" s="2" t="s">
        <v>50</v>
      </c>
    </row>
    <row r="563" spans="1:16">
      <c r="A563">
        <v>2023</v>
      </c>
      <c r="B563" t="s">
        <v>24</v>
      </c>
      <c r="C563" t="s">
        <v>21</v>
      </c>
      <c r="D563" t="s">
        <v>34</v>
      </c>
      <c r="E563">
        <v>1454</v>
      </c>
      <c r="F563">
        <v>3292</v>
      </c>
      <c r="G563">
        <v>3115</v>
      </c>
      <c r="H563">
        <v>2277</v>
      </c>
      <c r="I563" t="s">
        <v>18</v>
      </c>
      <c r="J563" s="21">
        <f ca="1">DATE(Table2[[#This Row],[Year]],MONTH(1 &amp; Table2[[#This Row],[Month]]),RANDBETWEEN(1,30))</f>
        <v>45224</v>
      </c>
      <c r="L563" s="2">
        <v>2024</v>
      </c>
      <c r="M563" s="2" t="s">
        <v>52</v>
      </c>
      <c r="N563" s="2">
        <v>423307</v>
      </c>
      <c r="O563" s="2">
        <v>668088</v>
      </c>
      <c r="P563" s="2" t="s">
        <v>59</v>
      </c>
    </row>
    <row r="564" spans="1:16">
      <c r="A564">
        <v>2023</v>
      </c>
      <c r="B564" t="s">
        <v>24</v>
      </c>
      <c r="C564" t="s">
        <v>25</v>
      </c>
      <c r="D564" t="s">
        <v>34</v>
      </c>
      <c r="E564">
        <v>3543</v>
      </c>
      <c r="F564">
        <v>2278</v>
      </c>
      <c r="G564">
        <v>8036</v>
      </c>
      <c r="H564">
        <v>2794</v>
      </c>
      <c r="I564" t="s">
        <v>12</v>
      </c>
      <c r="J564" s="21">
        <f ca="1">DATE(Table2[[#This Row],[Year]],MONTH(1 &amp; Table2[[#This Row],[Month]]),RANDBETWEEN(1,30))</f>
        <v>45229</v>
      </c>
      <c r="L564" s="2">
        <v>2025</v>
      </c>
      <c r="M564" s="2" t="s">
        <v>51</v>
      </c>
      <c r="N564" s="2">
        <v>127615</v>
      </c>
      <c r="O564" s="2">
        <v>670375</v>
      </c>
      <c r="P564" s="2" t="s">
        <v>49</v>
      </c>
    </row>
    <row r="565" spans="1:16">
      <c r="A565">
        <v>2023</v>
      </c>
      <c r="B565" t="s">
        <v>24</v>
      </c>
      <c r="C565" t="s">
        <v>29</v>
      </c>
      <c r="D565" t="s">
        <v>39</v>
      </c>
      <c r="E565">
        <v>3531</v>
      </c>
      <c r="F565">
        <v>2216</v>
      </c>
      <c r="G565">
        <v>6967</v>
      </c>
      <c r="H565">
        <v>2681</v>
      </c>
      <c r="I565" t="s">
        <v>12</v>
      </c>
      <c r="J565" s="21">
        <f ca="1">DATE(Table2[[#This Row],[Year]],MONTH(1 &amp; Table2[[#This Row],[Month]]),RANDBETWEEN(1,30))</f>
        <v>45216</v>
      </c>
      <c r="L565" s="2">
        <v>2023</v>
      </c>
      <c r="M565" s="2" t="s">
        <v>55</v>
      </c>
      <c r="N565" s="2">
        <v>233916</v>
      </c>
      <c r="O565" s="2">
        <v>287391</v>
      </c>
      <c r="P565" s="2" t="s">
        <v>50</v>
      </c>
    </row>
    <row r="566" spans="1:16">
      <c r="A566">
        <v>2023</v>
      </c>
      <c r="B566" t="s">
        <v>24</v>
      </c>
      <c r="C566" t="s">
        <v>23</v>
      </c>
      <c r="D566" t="s">
        <v>16</v>
      </c>
      <c r="E566">
        <v>3116</v>
      </c>
      <c r="F566">
        <v>5370</v>
      </c>
      <c r="G566">
        <v>9088</v>
      </c>
      <c r="H566">
        <v>1724</v>
      </c>
      <c r="I566" t="s">
        <v>28</v>
      </c>
      <c r="J566" s="21">
        <f ca="1">DATE(Table2[[#This Row],[Year]],MONTH(1 &amp; Table2[[#This Row],[Month]]),RANDBETWEEN(1,30))</f>
        <v>45203</v>
      </c>
      <c r="L566" s="2">
        <v>2021</v>
      </c>
      <c r="M566" s="2" t="s">
        <v>58</v>
      </c>
      <c r="N566" s="2">
        <v>225481</v>
      </c>
      <c r="O566" s="2">
        <v>637372</v>
      </c>
      <c r="P566" s="2" t="s">
        <v>59</v>
      </c>
    </row>
    <row r="567" spans="1:16">
      <c r="A567">
        <v>2023</v>
      </c>
      <c r="B567" t="s">
        <v>24</v>
      </c>
      <c r="C567" t="s">
        <v>23</v>
      </c>
      <c r="D567" t="s">
        <v>16</v>
      </c>
      <c r="E567">
        <v>1764</v>
      </c>
      <c r="F567">
        <v>2092</v>
      </c>
      <c r="G567">
        <v>9832</v>
      </c>
      <c r="H567">
        <v>817</v>
      </c>
      <c r="I567" t="s">
        <v>12</v>
      </c>
      <c r="J567" s="21">
        <f ca="1">DATE(Table2[[#This Row],[Year]],MONTH(1 &amp; Table2[[#This Row],[Month]]),RANDBETWEEN(1,30))</f>
        <v>45227</v>
      </c>
      <c r="L567" s="2">
        <v>2023</v>
      </c>
      <c r="M567" s="2" t="s">
        <v>48</v>
      </c>
      <c r="N567" s="2">
        <v>354258</v>
      </c>
      <c r="O567" s="2">
        <v>568716</v>
      </c>
      <c r="P567" s="2" t="s">
        <v>50</v>
      </c>
    </row>
    <row r="568" spans="1:16">
      <c r="A568">
        <v>2023</v>
      </c>
      <c r="B568" t="s">
        <v>24</v>
      </c>
      <c r="C568" t="s">
        <v>10</v>
      </c>
      <c r="D568" t="s">
        <v>37</v>
      </c>
      <c r="E568">
        <v>1029</v>
      </c>
      <c r="F568">
        <v>4889</v>
      </c>
      <c r="G568">
        <v>4254</v>
      </c>
      <c r="H568">
        <v>2744</v>
      </c>
      <c r="I568" t="s">
        <v>28</v>
      </c>
      <c r="J568" s="21">
        <f ca="1">DATE(Table2[[#This Row],[Year]],MONTH(1 &amp; Table2[[#This Row],[Month]]),RANDBETWEEN(1,30))</f>
        <v>45224</v>
      </c>
      <c r="L568" s="2">
        <v>2021</v>
      </c>
      <c r="M568" s="2" t="s">
        <v>61</v>
      </c>
      <c r="N568" s="2">
        <v>242383</v>
      </c>
      <c r="O568" s="2">
        <v>326419</v>
      </c>
      <c r="P568" s="2" t="s">
        <v>49</v>
      </c>
    </row>
    <row r="569" spans="1:16">
      <c r="A569">
        <v>2023</v>
      </c>
      <c r="B569" t="s">
        <v>24</v>
      </c>
      <c r="C569" t="s">
        <v>21</v>
      </c>
      <c r="D569" t="s">
        <v>38</v>
      </c>
      <c r="E569">
        <v>1332</v>
      </c>
      <c r="F569">
        <v>8395</v>
      </c>
      <c r="G569">
        <v>9046</v>
      </c>
      <c r="H569">
        <v>246</v>
      </c>
      <c r="I569" t="s">
        <v>28</v>
      </c>
      <c r="J569" s="21">
        <f ca="1">DATE(Table2[[#This Row],[Year]],MONTH(1 &amp; Table2[[#This Row],[Month]]),RANDBETWEEN(1,30))</f>
        <v>45215</v>
      </c>
      <c r="L569" s="2">
        <v>2025</v>
      </c>
      <c r="M569" s="2" t="s">
        <v>56</v>
      </c>
      <c r="N569" s="2">
        <v>159403</v>
      </c>
      <c r="O569" s="2">
        <v>233642</v>
      </c>
      <c r="P569" s="2" t="s">
        <v>59</v>
      </c>
    </row>
    <row r="570" spans="1:16">
      <c r="A570">
        <v>2023</v>
      </c>
      <c r="B570" t="s">
        <v>24</v>
      </c>
      <c r="C570" t="s">
        <v>29</v>
      </c>
      <c r="D570" t="s">
        <v>30</v>
      </c>
      <c r="E570">
        <v>3651</v>
      </c>
      <c r="F570">
        <v>1784</v>
      </c>
      <c r="G570">
        <v>10588</v>
      </c>
      <c r="H570">
        <v>2903</v>
      </c>
      <c r="I570" t="s">
        <v>12</v>
      </c>
      <c r="J570" s="21">
        <f ca="1">DATE(Table2[[#This Row],[Year]],MONTH(1 &amp; Table2[[#This Row],[Month]]),RANDBETWEEN(1,30))</f>
        <v>45206</v>
      </c>
      <c r="L570" s="2">
        <v>2025</v>
      </c>
      <c r="M570" s="2" t="s">
        <v>52</v>
      </c>
      <c r="N570" s="2">
        <v>338587</v>
      </c>
      <c r="O570" s="2">
        <v>333999</v>
      </c>
      <c r="P570" s="2" t="s">
        <v>59</v>
      </c>
    </row>
    <row r="571" spans="1:16">
      <c r="A571">
        <v>2023</v>
      </c>
      <c r="B571" t="s">
        <v>32</v>
      </c>
      <c r="C571" t="s">
        <v>25</v>
      </c>
      <c r="D571" t="s">
        <v>22</v>
      </c>
      <c r="E571">
        <v>354</v>
      </c>
      <c r="F571">
        <v>1541</v>
      </c>
      <c r="G571">
        <v>3344</v>
      </c>
      <c r="H571">
        <v>1946</v>
      </c>
      <c r="I571" t="s">
        <v>12</v>
      </c>
      <c r="J571" s="21">
        <f ca="1">DATE(Table2[[#This Row],[Year]],MONTH(1 &amp; Table2[[#This Row],[Month]]),RANDBETWEEN(1,30))</f>
        <v>45253</v>
      </c>
      <c r="L571" s="2">
        <v>2023</v>
      </c>
      <c r="M571" s="2" t="s">
        <v>55</v>
      </c>
      <c r="N571" s="2">
        <v>425754</v>
      </c>
      <c r="O571" s="2">
        <v>656104</v>
      </c>
      <c r="P571" s="2" t="s">
        <v>49</v>
      </c>
    </row>
    <row r="572" spans="1:16">
      <c r="A572">
        <v>2023</v>
      </c>
      <c r="B572" t="s">
        <v>32</v>
      </c>
      <c r="C572" t="s">
        <v>29</v>
      </c>
      <c r="D572" t="s">
        <v>17</v>
      </c>
      <c r="E572">
        <v>3008</v>
      </c>
      <c r="F572">
        <v>6195</v>
      </c>
      <c r="G572">
        <v>9928</v>
      </c>
      <c r="H572">
        <v>1900</v>
      </c>
      <c r="I572" t="s">
        <v>28</v>
      </c>
      <c r="J572" s="21">
        <f ca="1">DATE(Table2[[#This Row],[Year]],MONTH(1 &amp; Table2[[#This Row],[Month]]),RANDBETWEEN(1,30))</f>
        <v>45240</v>
      </c>
      <c r="L572" s="2">
        <v>2022</v>
      </c>
      <c r="M572" s="2" t="s">
        <v>58</v>
      </c>
      <c r="N572" s="2">
        <v>252849</v>
      </c>
      <c r="O572" s="2">
        <v>516589</v>
      </c>
      <c r="P572" s="2" t="s">
        <v>50</v>
      </c>
    </row>
    <row r="573" spans="1:16">
      <c r="A573">
        <v>2023</v>
      </c>
      <c r="B573" t="s">
        <v>32</v>
      </c>
      <c r="C573" t="s">
        <v>29</v>
      </c>
      <c r="D573" t="s">
        <v>35</v>
      </c>
      <c r="E573">
        <v>899</v>
      </c>
      <c r="F573">
        <v>6240</v>
      </c>
      <c r="G573">
        <v>2757</v>
      </c>
      <c r="H573">
        <v>1971</v>
      </c>
      <c r="I573" t="s">
        <v>12</v>
      </c>
      <c r="J573" s="21">
        <f ca="1">DATE(Table2[[#This Row],[Year]],MONTH(1 &amp; Table2[[#This Row],[Month]]),RANDBETWEEN(1,30))</f>
        <v>45256</v>
      </c>
      <c r="L573" s="2">
        <v>2021</v>
      </c>
      <c r="M573" s="2" t="s">
        <v>55</v>
      </c>
      <c r="N573" s="2">
        <v>152907</v>
      </c>
      <c r="O573" s="2">
        <v>560527</v>
      </c>
      <c r="P573" s="2" t="s">
        <v>50</v>
      </c>
    </row>
    <row r="574" spans="1:16">
      <c r="A574">
        <v>2023</v>
      </c>
      <c r="B574" t="s">
        <v>32</v>
      </c>
      <c r="C574" t="s">
        <v>25</v>
      </c>
      <c r="D574" t="s">
        <v>30</v>
      </c>
      <c r="E574">
        <v>3539</v>
      </c>
      <c r="F574">
        <v>1740</v>
      </c>
      <c r="G574">
        <v>2014</v>
      </c>
      <c r="H574">
        <v>1229</v>
      </c>
      <c r="I574" t="s">
        <v>28</v>
      </c>
      <c r="J574" s="21">
        <f ca="1">DATE(Table2[[#This Row],[Year]],MONTH(1 &amp; Table2[[#This Row],[Month]]),RANDBETWEEN(1,30))</f>
        <v>45246</v>
      </c>
      <c r="L574" s="2">
        <v>2023</v>
      </c>
      <c r="M574" s="2" t="s">
        <v>48</v>
      </c>
      <c r="N574" s="2">
        <v>178675</v>
      </c>
      <c r="O574" s="2">
        <v>328576</v>
      </c>
      <c r="P574" s="2" t="s">
        <v>49</v>
      </c>
    </row>
    <row r="575" spans="1:16">
      <c r="A575">
        <v>2023</v>
      </c>
      <c r="B575" t="s">
        <v>32</v>
      </c>
      <c r="C575" t="s">
        <v>10</v>
      </c>
      <c r="D575" t="s">
        <v>26</v>
      </c>
      <c r="E575">
        <v>1702</v>
      </c>
      <c r="F575">
        <v>5614</v>
      </c>
      <c r="G575">
        <v>11447</v>
      </c>
      <c r="H575">
        <v>1393</v>
      </c>
      <c r="I575" t="s">
        <v>18</v>
      </c>
      <c r="J575" s="21">
        <f ca="1">DATE(Table2[[#This Row],[Year]],MONTH(1 &amp; Table2[[#This Row],[Month]]),RANDBETWEEN(1,30))</f>
        <v>45256</v>
      </c>
      <c r="L575" s="2">
        <v>2020</v>
      </c>
      <c r="M575" s="2" t="s">
        <v>58</v>
      </c>
      <c r="N575" s="2">
        <v>194993</v>
      </c>
      <c r="O575" s="2">
        <v>559694</v>
      </c>
      <c r="P575" s="2" t="s">
        <v>53</v>
      </c>
    </row>
    <row r="576" spans="1:16">
      <c r="A576">
        <v>2023</v>
      </c>
      <c r="B576" t="s">
        <v>32</v>
      </c>
      <c r="C576" t="s">
        <v>29</v>
      </c>
      <c r="D576" t="s">
        <v>37</v>
      </c>
      <c r="E576">
        <v>661</v>
      </c>
      <c r="F576">
        <v>4760</v>
      </c>
      <c r="G576">
        <v>5325</v>
      </c>
      <c r="H576">
        <v>945</v>
      </c>
      <c r="I576" t="s">
        <v>28</v>
      </c>
      <c r="J576" s="21">
        <f ca="1">DATE(Table2[[#This Row],[Year]],MONTH(1 &amp; Table2[[#This Row],[Month]]),RANDBETWEEN(1,30))</f>
        <v>45247</v>
      </c>
      <c r="L576" s="2">
        <v>2023</v>
      </c>
      <c r="M576" s="2" t="s">
        <v>56</v>
      </c>
      <c r="N576" s="2">
        <v>219959</v>
      </c>
      <c r="O576" s="2">
        <v>214061</v>
      </c>
      <c r="P576" s="2" t="s">
        <v>59</v>
      </c>
    </row>
    <row r="577" spans="1:16">
      <c r="A577">
        <v>2023</v>
      </c>
      <c r="B577" t="s">
        <v>32</v>
      </c>
      <c r="C577" t="s">
        <v>15</v>
      </c>
      <c r="D577" t="s">
        <v>43</v>
      </c>
      <c r="E577">
        <v>582</v>
      </c>
      <c r="F577">
        <v>4461</v>
      </c>
      <c r="G577">
        <v>4602</v>
      </c>
      <c r="H577">
        <v>2094</v>
      </c>
      <c r="I577" t="s">
        <v>12</v>
      </c>
      <c r="J577" s="21">
        <f ca="1">DATE(Table2[[#This Row],[Year]],MONTH(1 &amp; Table2[[#This Row],[Month]]),RANDBETWEEN(1,30))</f>
        <v>45257</v>
      </c>
      <c r="L577" s="2">
        <v>2021</v>
      </c>
      <c r="M577" s="2" t="s">
        <v>52</v>
      </c>
      <c r="N577" s="2">
        <v>357118</v>
      </c>
      <c r="O577" s="2">
        <v>387661</v>
      </c>
      <c r="P577" s="2" t="s">
        <v>49</v>
      </c>
    </row>
    <row r="578" spans="1:16">
      <c r="A578">
        <v>2023</v>
      </c>
      <c r="B578" t="s">
        <v>32</v>
      </c>
      <c r="C578" t="s">
        <v>21</v>
      </c>
      <c r="D578" t="s">
        <v>35</v>
      </c>
      <c r="E578">
        <v>1589</v>
      </c>
      <c r="F578">
        <v>3573</v>
      </c>
      <c r="G578">
        <v>5882</v>
      </c>
      <c r="H578">
        <v>2354</v>
      </c>
      <c r="I578" t="s">
        <v>12</v>
      </c>
      <c r="J578" s="21">
        <f ca="1">DATE(Table2[[#This Row],[Year]],MONTH(1 &amp; Table2[[#This Row],[Month]]),RANDBETWEEN(1,30))</f>
        <v>45254</v>
      </c>
      <c r="L578" s="2">
        <v>2023</v>
      </c>
      <c r="M578" s="2" t="s">
        <v>48</v>
      </c>
      <c r="N578" s="2">
        <v>340378</v>
      </c>
      <c r="O578" s="2">
        <v>513377</v>
      </c>
      <c r="P578" s="2" t="s">
        <v>53</v>
      </c>
    </row>
    <row r="579" spans="1:16">
      <c r="A579">
        <v>2023</v>
      </c>
      <c r="B579" t="s">
        <v>32</v>
      </c>
      <c r="C579" t="s">
        <v>15</v>
      </c>
      <c r="D579" t="s">
        <v>16</v>
      </c>
      <c r="E579">
        <v>3322</v>
      </c>
      <c r="F579">
        <v>6337</v>
      </c>
      <c r="G579">
        <v>2121</v>
      </c>
      <c r="H579">
        <v>421</v>
      </c>
      <c r="I579" t="s">
        <v>28</v>
      </c>
      <c r="J579" s="21">
        <f ca="1">DATE(Table2[[#This Row],[Year]],MONTH(1 &amp; Table2[[#This Row],[Month]]),RANDBETWEEN(1,30))</f>
        <v>45238</v>
      </c>
      <c r="L579" s="2">
        <v>2021</v>
      </c>
      <c r="M579" s="2" t="s">
        <v>52</v>
      </c>
      <c r="N579" s="2">
        <v>378432</v>
      </c>
      <c r="O579" s="2">
        <v>273048</v>
      </c>
      <c r="P579" s="2" t="s">
        <v>59</v>
      </c>
    </row>
    <row r="580" spans="1:16">
      <c r="A580">
        <v>2023</v>
      </c>
      <c r="B580" t="s">
        <v>32</v>
      </c>
      <c r="C580" t="s">
        <v>15</v>
      </c>
      <c r="D580" t="s">
        <v>11</v>
      </c>
      <c r="E580">
        <v>1806</v>
      </c>
      <c r="F580">
        <v>5448</v>
      </c>
      <c r="G580">
        <v>5976</v>
      </c>
      <c r="H580">
        <v>656</v>
      </c>
      <c r="I580" t="s">
        <v>12</v>
      </c>
      <c r="J580" s="21">
        <f ca="1">DATE(Table2[[#This Row],[Year]],MONTH(1 &amp; Table2[[#This Row],[Month]]),RANDBETWEEN(1,30))</f>
        <v>45255</v>
      </c>
      <c r="L580" s="2">
        <v>2021</v>
      </c>
      <c r="M580" s="2" t="s">
        <v>61</v>
      </c>
      <c r="N580" s="2">
        <v>245001</v>
      </c>
      <c r="O580" s="2">
        <v>611502</v>
      </c>
      <c r="P580" s="2" t="s">
        <v>59</v>
      </c>
    </row>
    <row r="581" spans="1:16">
      <c r="A581">
        <v>2023</v>
      </c>
      <c r="B581" t="s">
        <v>32</v>
      </c>
      <c r="C581" t="s">
        <v>29</v>
      </c>
      <c r="D581" t="s">
        <v>23</v>
      </c>
      <c r="E581">
        <v>3204</v>
      </c>
      <c r="F581">
        <v>8454</v>
      </c>
      <c r="G581">
        <v>4643</v>
      </c>
      <c r="H581">
        <v>855</v>
      </c>
      <c r="I581" t="s">
        <v>12</v>
      </c>
      <c r="J581" s="21">
        <f ca="1">DATE(Table2[[#This Row],[Year]],MONTH(1 &amp; Table2[[#This Row],[Month]]),RANDBETWEEN(1,30))</f>
        <v>45243</v>
      </c>
      <c r="L581" s="2">
        <v>2021</v>
      </c>
      <c r="M581" s="2" t="s">
        <v>61</v>
      </c>
      <c r="N581" s="2">
        <v>429599</v>
      </c>
      <c r="O581" s="2">
        <v>317516</v>
      </c>
      <c r="P581" s="2" t="s">
        <v>49</v>
      </c>
    </row>
    <row r="582" spans="1:16">
      <c r="A582">
        <v>2023</v>
      </c>
      <c r="B582" t="s">
        <v>32</v>
      </c>
      <c r="C582" t="s">
        <v>10</v>
      </c>
      <c r="D582" t="s">
        <v>38</v>
      </c>
      <c r="E582">
        <v>2790</v>
      </c>
      <c r="F582">
        <v>4668</v>
      </c>
      <c r="G582">
        <v>7767</v>
      </c>
      <c r="H582">
        <v>1868</v>
      </c>
      <c r="I582" t="s">
        <v>28</v>
      </c>
      <c r="J582" s="21">
        <f ca="1">DATE(Table2[[#This Row],[Year]],MONTH(1 &amp; Table2[[#This Row],[Month]]),RANDBETWEEN(1,30))</f>
        <v>45244</v>
      </c>
      <c r="L582" s="2">
        <v>2024</v>
      </c>
      <c r="M582" s="2" t="s">
        <v>51</v>
      </c>
      <c r="N582" s="2">
        <v>181635</v>
      </c>
      <c r="O582" s="2">
        <v>526141</v>
      </c>
      <c r="P582" s="2" t="s">
        <v>53</v>
      </c>
    </row>
    <row r="583" spans="1:16">
      <c r="A583">
        <v>2023</v>
      </c>
      <c r="B583" t="s">
        <v>41</v>
      </c>
      <c r="C583" t="s">
        <v>15</v>
      </c>
      <c r="D583" t="s">
        <v>43</v>
      </c>
      <c r="E583">
        <v>1778</v>
      </c>
      <c r="F583">
        <v>1763</v>
      </c>
      <c r="G583">
        <v>7190</v>
      </c>
      <c r="H583">
        <v>2005</v>
      </c>
      <c r="I583" t="s">
        <v>28</v>
      </c>
      <c r="J583" s="21">
        <f ca="1">DATE(Table2[[#This Row],[Year]],MONTH(1 &amp; Table2[[#This Row],[Month]]),RANDBETWEEN(1,30))</f>
        <v>45279</v>
      </c>
      <c r="L583" s="2">
        <v>2023</v>
      </c>
      <c r="M583" s="2" t="s">
        <v>51</v>
      </c>
      <c r="N583" s="2">
        <v>287616</v>
      </c>
      <c r="O583" s="2">
        <v>402599</v>
      </c>
      <c r="P583" s="2" t="s">
        <v>59</v>
      </c>
    </row>
    <row r="584" spans="1:16">
      <c r="A584">
        <v>2023</v>
      </c>
      <c r="B584" t="s">
        <v>41</v>
      </c>
      <c r="C584" t="s">
        <v>10</v>
      </c>
      <c r="D584" t="s">
        <v>37</v>
      </c>
      <c r="E584">
        <v>948</v>
      </c>
      <c r="F584">
        <v>6417</v>
      </c>
      <c r="G584">
        <v>6738</v>
      </c>
      <c r="H584">
        <v>626</v>
      </c>
      <c r="I584" t="s">
        <v>18</v>
      </c>
      <c r="J584" s="21">
        <f ca="1">DATE(Table2[[#This Row],[Year]],MONTH(1 &amp; Table2[[#This Row],[Month]]),RANDBETWEEN(1,30))</f>
        <v>45270</v>
      </c>
      <c r="L584" s="2">
        <v>2025</v>
      </c>
      <c r="M584" s="2" t="s">
        <v>55</v>
      </c>
      <c r="N584" s="2">
        <v>420375</v>
      </c>
      <c r="O584" s="2">
        <v>498022</v>
      </c>
      <c r="P584" s="2" t="s">
        <v>59</v>
      </c>
    </row>
    <row r="585" spans="1:16">
      <c r="A585">
        <v>2023</v>
      </c>
      <c r="B585" t="s">
        <v>41</v>
      </c>
      <c r="C585" t="s">
        <v>21</v>
      </c>
      <c r="D585" t="s">
        <v>42</v>
      </c>
      <c r="E585">
        <v>923</v>
      </c>
      <c r="F585">
        <v>4350</v>
      </c>
      <c r="G585">
        <v>5657</v>
      </c>
      <c r="H585">
        <v>867</v>
      </c>
      <c r="I585" t="s">
        <v>28</v>
      </c>
      <c r="J585" s="21">
        <f ca="1">DATE(Table2[[#This Row],[Year]],MONTH(1 &amp; Table2[[#This Row],[Month]]),RANDBETWEEN(1,30))</f>
        <v>45261</v>
      </c>
      <c r="L585" s="2">
        <v>2021</v>
      </c>
      <c r="M585" s="2" t="s">
        <v>55</v>
      </c>
      <c r="N585" s="2">
        <v>172063</v>
      </c>
      <c r="O585" s="2">
        <v>253725</v>
      </c>
      <c r="P585" s="2" t="s">
        <v>53</v>
      </c>
    </row>
    <row r="586" spans="1:16">
      <c r="A586">
        <v>2023</v>
      </c>
      <c r="B586" t="s">
        <v>41</v>
      </c>
      <c r="C586" t="s">
        <v>21</v>
      </c>
      <c r="D586" t="s">
        <v>42</v>
      </c>
      <c r="E586">
        <v>2247</v>
      </c>
      <c r="F586">
        <v>6417</v>
      </c>
      <c r="G586">
        <v>2219</v>
      </c>
      <c r="H586">
        <v>789</v>
      </c>
      <c r="I586" t="s">
        <v>28</v>
      </c>
      <c r="J586" s="21">
        <f ca="1">DATE(Table2[[#This Row],[Year]],MONTH(1 &amp; Table2[[#This Row],[Month]]),RANDBETWEEN(1,30))</f>
        <v>45275</v>
      </c>
      <c r="L586" s="2">
        <v>2025</v>
      </c>
      <c r="M586" s="2" t="s">
        <v>54</v>
      </c>
      <c r="N586" s="2">
        <v>143945</v>
      </c>
      <c r="O586" s="2">
        <v>208456</v>
      </c>
      <c r="P586" s="2" t="s">
        <v>53</v>
      </c>
    </row>
    <row r="587" spans="1:16">
      <c r="A587">
        <v>2023</v>
      </c>
      <c r="B587" t="s">
        <v>41</v>
      </c>
      <c r="C587" t="s">
        <v>25</v>
      </c>
      <c r="D587" t="s">
        <v>43</v>
      </c>
      <c r="E587">
        <v>1939</v>
      </c>
      <c r="F587">
        <v>5867</v>
      </c>
      <c r="G587">
        <v>11707</v>
      </c>
      <c r="H587">
        <v>2714</v>
      </c>
      <c r="I587" t="s">
        <v>18</v>
      </c>
      <c r="J587" s="21">
        <f ca="1">DATE(Table2[[#This Row],[Year]],MONTH(1 &amp; Table2[[#This Row],[Month]]),RANDBETWEEN(1,30))</f>
        <v>45282</v>
      </c>
      <c r="L587" s="2">
        <v>2022</v>
      </c>
      <c r="M587" s="2" t="s">
        <v>60</v>
      </c>
      <c r="N587" s="2">
        <v>453474</v>
      </c>
      <c r="O587" s="2">
        <v>654782</v>
      </c>
      <c r="P587" s="2" t="s">
        <v>50</v>
      </c>
    </row>
    <row r="588" spans="1:16">
      <c r="A588">
        <v>2023</v>
      </c>
      <c r="B588" t="s">
        <v>41</v>
      </c>
      <c r="C588" t="s">
        <v>29</v>
      </c>
      <c r="D588" t="s">
        <v>42</v>
      </c>
      <c r="E588">
        <v>151</v>
      </c>
      <c r="F588">
        <v>2492</v>
      </c>
      <c r="G588">
        <v>9143</v>
      </c>
      <c r="H588">
        <v>1916</v>
      </c>
      <c r="I588" t="s">
        <v>28</v>
      </c>
      <c r="J588" s="21">
        <f ca="1">DATE(Table2[[#This Row],[Year]],MONTH(1 &amp; Table2[[#This Row],[Month]]),RANDBETWEEN(1,30))</f>
        <v>45271</v>
      </c>
      <c r="L588" s="2">
        <v>2020</v>
      </c>
      <c r="M588" s="2" t="s">
        <v>60</v>
      </c>
      <c r="N588" s="2">
        <v>237172</v>
      </c>
      <c r="O588" s="2">
        <v>334815</v>
      </c>
      <c r="P588" s="2" t="s">
        <v>50</v>
      </c>
    </row>
    <row r="589" spans="1:16">
      <c r="A589">
        <v>2023</v>
      </c>
      <c r="B589" t="s">
        <v>41</v>
      </c>
      <c r="C589" t="s">
        <v>25</v>
      </c>
      <c r="D589" t="s">
        <v>39</v>
      </c>
      <c r="E589">
        <v>1388</v>
      </c>
      <c r="F589">
        <v>8464</v>
      </c>
      <c r="G589">
        <v>6276</v>
      </c>
      <c r="H589">
        <v>1757</v>
      </c>
      <c r="I589" t="s">
        <v>28</v>
      </c>
      <c r="J589" s="21">
        <f ca="1">DATE(Table2[[#This Row],[Year]],MONTH(1 &amp; Table2[[#This Row],[Month]]),RANDBETWEEN(1,30))</f>
        <v>45271</v>
      </c>
      <c r="L589" s="2">
        <v>2022</v>
      </c>
      <c r="M589" s="2" t="s">
        <v>54</v>
      </c>
      <c r="N589" s="2">
        <v>373548</v>
      </c>
      <c r="O589" s="2">
        <v>609839</v>
      </c>
      <c r="P589" s="2" t="s">
        <v>49</v>
      </c>
    </row>
    <row r="590" spans="1:16">
      <c r="A590">
        <v>2023</v>
      </c>
      <c r="B590" t="s">
        <v>41</v>
      </c>
      <c r="C590" t="s">
        <v>21</v>
      </c>
      <c r="D590" t="s">
        <v>11</v>
      </c>
      <c r="E590">
        <v>1581</v>
      </c>
      <c r="F590">
        <v>7566</v>
      </c>
      <c r="G590">
        <v>10358</v>
      </c>
      <c r="H590">
        <v>2946</v>
      </c>
      <c r="I590" t="s">
        <v>12</v>
      </c>
      <c r="J590" s="21">
        <f ca="1">DATE(Table2[[#This Row],[Year]],MONTH(1 &amp; Table2[[#This Row],[Month]]),RANDBETWEEN(1,30))</f>
        <v>45272</v>
      </c>
      <c r="L590" s="2">
        <v>2021</v>
      </c>
      <c r="M590" s="2" t="s">
        <v>56</v>
      </c>
      <c r="N590" s="2">
        <v>110139</v>
      </c>
      <c r="O590" s="2">
        <v>699675</v>
      </c>
      <c r="P590" s="2" t="s">
        <v>50</v>
      </c>
    </row>
    <row r="591" spans="1:16">
      <c r="A591">
        <v>2023</v>
      </c>
      <c r="B591" t="s">
        <v>41</v>
      </c>
      <c r="C591" t="s">
        <v>15</v>
      </c>
      <c r="D591" t="s">
        <v>11</v>
      </c>
      <c r="E591">
        <v>1875</v>
      </c>
      <c r="F591">
        <v>1069</v>
      </c>
      <c r="G591">
        <v>7056</v>
      </c>
      <c r="H591">
        <v>1503</v>
      </c>
      <c r="I591" t="s">
        <v>18</v>
      </c>
      <c r="J591" s="21">
        <f ca="1">DATE(Table2[[#This Row],[Year]],MONTH(1 &amp; Table2[[#This Row],[Month]]),RANDBETWEEN(1,30))</f>
        <v>45281</v>
      </c>
      <c r="L591" s="2">
        <v>2021</v>
      </c>
      <c r="M591" s="2" t="s">
        <v>61</v>
      </c>
      <c r="N591" s="2">
        <v>376019</v>
      </c>
      <c r="O591" s="2">
        <v>305716</v>
      </c>
      <c r="P591" s="2" t="s">
        <v>49</v>
      </c>
    </row>
    <row r="592" spans="1:16">
      <c r="A592">
        <v>2023</v>
      </c>
      <c r="B592" t="s">
        <v>41</v>
      </c>
      <c r="C592" t="s">
        <v>15</v>
      </c>
      <c r="D592" t="s">
        <v>30</v>
      </c>
      <c r="E592">
        <v>3854</v>
      </c>
      <c r="F592">
        <v>5164</v>
      </c>
      <c r="G592">
        <v>2337</v>
      </c>
      <c r="H592">
        <v>1747</v>
      </c>
      <c r="I592" t="s">
        <v>28</v>
      </c>
      <c r="J592" s="21">
        <f ca="1">DATE(Table2[[#This Row],[Year]],MONTH(1 &amp; Table2[[#This Row],[Month]]),RANDBETWEEN(1,30))</f>
        <v>45284</v>
      </c>
      <c r="L592" s="2">
        <v>2023</v>
      </c>
      <c r="M592" s="2" t="s">
        <v>48</v>
      </c>
      <c r="N592" s="2">
        <v>226441</v>
      </c>
      <c r="O592" s="2">
        <v>332585</v>
      </c>
      <c r="P592" s="2" t="s">
        <v>50</v>
      </c>
    </row>
    <row r="593" spans="1:16">
      <c r="A593">
        <v>2024</v>
      </c>
      <c r="B593" t="s">
        <v>9</v>
      </c>
      <c r="C593" t="s">
        <v>10</v>
      </c>
      <c r="D593" t="s">
        <v>39</v>
      </c>
      <c r="E593">
        <v>1909</v>
      </c>
      <c r="F593">
        <v>5585</v>
      </c>
      <c r="G593">
        <v>2893</v>
      </c>
      <c r="H593">
        <v>2925</v>
      </c>
      <c r="I593" t="s">
        <v>18</v>
      </c>
      <c r="J593" s="21">
        <f ca="1">DATE(Table2[[#This Row],[Year]],MONTH(1 &amp; Table2[[#This Row],[Month]]),RANDBETWEEN(1,30))</f>
        <v>45298</v>
      </c>
      <c r="L593" s="2">
        <v>2025</v>
      </c>
      <c r="M593" s="2" t="s">
        <v>48</v>
      </c>
      <c r="N593" s="2">
        <v>122296</v>
      </c>
      <c r="O593" s="2">
        <v>531430</v>
      </c>
      <c r="P593" s="2" t="s">
        <v>49</v>
      </c>
    </row>
    <row r="594" spans="1:16">
      <c r="A594">
        <v>2024</v>
      </c>
      <c r="B594" t="s">
        <v>9</v>
      </c>
      <c r="C594" t="s">
        <v>21</v>
      </c>
      <c r="D594" t="s">
        <v>42</v>
      </c>
      <c r="E594">
        <v>461</v>
      </c>
      <c r="F594">
        <v>9650</v>
      </c>
      <c r="G594">
        <v>10904</v>
      </c>
      <c r="H594">
        <v>259</v>
      </c>
      <c r="I594" t="s">
        <v>12</v>
      </c>
      <c r="J594" s="21">
        <f ca="1">DATE(Table2[[#This Row],[Year]],MONTH(1 &amp; Table2[[#This Row],[Month]]),RANDBETWEEN(1,30))</f>
        <v>45294</v>
      </c>
      <c r="L594" s="2">
        <v>2024</v>
      </c>
      <c r="M594" s="2" t="s">
        <v>60</v>
      </c>
      <c r="N594" s="2">
        <v>343925</v>
      </c>
      <c r="O594" s="2">
        <v>682724</v>
      </c>
      <c r="P594" s="2" t="s">
        <v>50</v>
      </c>
    </row>
    <row r="595" spans="1:16">
      <c r="A595">
        <v>2024</v>
      </c>
      <c r="B595" t="s">
        <v>9</v>
      </c>
      <c r="C595" t="s">
        <v>25</v>
      </c>
      <c r="D595" t="s">
        <v>39</v>
      </c>
      <c r="E595">
        <v>1323</v>
      </c>
      <c r="F595">
        <v>5822</v>
      </c>
      <c r="G595">
        <v>11574</v>
      </c>
      <c r="H595">
        <v>1949</v>
      </c>
      <c r="I595" t="s">
        <v>12</v>
      </c>
      <c r="J595" s="21">
        <f ca="1">DATE(Table2[[#This Row],[Year]],MONTH(1 &amp; Table2[[#This Row],[Month]]),RANDBETWEEN(1,30))</f>
        <v>45300</v>
      </c>
      <c r="L595" s="2">
        <v>2021</v>
      </c>
      <c r="M595" s="2" t="s">
        <v>57</v>
      </c>
      <c r="N595" s="2">
        <v>196322</v>
      </c>
      <c r="O595" s="2">
        <v>657907</v>
      </c>
      <c r="P595" s="2" t="s">
        <v>49</v>
      </c>
    </row>
    <row r="596" spans="1:16">
      <c r="A596">
        <v>2024</v>
      </c>
      <c r="B596" t="s">
        <v>9</v>
      </c>
      <c r="C596" t="s">
        <v>25</v>
      </c>
      <c r="D596" t="s">
        <v>42</v>
      </c>
      <c r="E596">
        <v>1919</v>
      </c>
      <c r="F596">
        <v>4796</v>
      </c>
      <c r="G596">
        <v>9187</v>
      </c>
      <c r="H596">
        <v>601</v>
      </c>
      <c r="I596" t="s">
        <v>18</v>
      </c>
      <c r="J596" s="21">
        <f ca="1">DATE(Table2[[#This Row],[Year]],MONTH(1 &amp; Table2[[#This Row],[Month]]),RANDBETWEEN(1,30))</f>
        <v>45297</v>
      </c>
      <c r="L596" s="2">
        <v>2020</v>
      </c>
      <c r="M596" s="2" t="s">
        <v>52</v>
      </c>
      <c r="N596" s="2">
        <v>254723</v>
      </c>
      <c r="O596" s="2">
        <v>451438</v>
      </c>
      <c r="P596" s="2" t="s">
        <v>53</v>
      </c>
    </row>
    <row r="597" spans="1:16">
      <c r="A597">
        <v>2024</v>
      </c>
      <c r="B597" t="s">
        <v>9</v>
      </c>
      <c r="C597" t="s">
        <v>29</v>
      </c>
      <c r="D597" t="s">
        <v>43</v>
      </c>
      <c r="E597">
        <v>1242</v>
      </c>
      <c r="F597">
        <v>8568</v>
      </c>
      <c r="G597">
        <v>7159</v>
      </c>
      <c r="H597">
        <v>1579</v>
      </c>
      <c r="I597" t="s">
        <v>28</v>
      </c>
      <c r="J597" s="21">
        <f ca="1">DATE(Table2[[#This Row],[Year]],MONTH(1 &amp; Table2[[#This Row],[Month]]),RANDBETWEEN(1,30))</f>
        <v>45300</v>
      </c>
      <c r="L597" s="2">
        <v>2021</v>
      </c>
      <c r="M597" s="2" t="s">
        <v>51</v>
      </c>
      <c r="N597" s="2">
        <v>132232</v>
      </c>
      <c r="O597" s="2">
        <v>597555</v>
      </c>
      <c r="P597" s="2" t="s">
        <v>50</v>
      </c>
    </row>
    <row r="598" spans="1:16">
      <c r="A598">
        <v>2024</v>
      </c>
      <c r="B598" t="s">
        <v>9</v>
      </c>
      <c r="C598" t="s">
        <v>10</v>
      </c>
      <c r="D598" t="s">
        <v>30</v>
      </c>
      <c r="E598">
        <v>2968</v>
      </c>
      <c r="F598">
        <v>4932</v>
      </c>
      <c r="G598">
        <v>10109</v>
      </c>
      <c r="H598">
        <v>532</v>
      </c>
      <c r="I598" t="s">
        <v>12</v>
      </c>
      <c r="J598" s="21">
        <f ca="1">DATE(Table2[[#This Row],[Year]],MONTH(1 &amp; Table2[[#This Row],[Month]]),RANDBETWEEN(1,30))</f>
        <v>45306</v>
      </c>
      <c r="L598" s="2">
        <v>2020</v>
      </c>
      <c r="M598" s="2" t="s">
        <v>52</v>
      </c>
      <c r="N598" s="2">
        <v>158865</v>
      </c>
      <c r="O598" s="2">
        <v>267873</v>
      </c>
      <c r="P598" s="2" t="s">
        <v>59</v>
      </c>
    </row>
    <row r="599" spans="1:16">
      <c r="A599">
        <v>2024</v>
      </c>
      <c r="B599" t="s">
        <v>9</v>
      </c>
      <c r="C599" t="s">
        <v>21</v>
      </c>
      <c r="D599" t="s">
        <v>11</v>
      </c>
      <c r="E599">
        <v>2397</v>
      </c>
      <c r="F599">
        <v>7924</v>
      </c>
      <c r="G599">
        <v>9818</v>
      </c>
      <c r="H599">
        <v>611</v>
      </c>
      <c r="I599" t="s">
        <v>28</v>
      </c>
      <c r="J599" s="21">
        <f ca="1">DATE(Table2[[#This Row],[Year]],MONTH(1 &amp; Table2[[#This Row],[Month]]),RANDBETWEEN(1,30))</f>
        <v>45311</v>
      </c>
      <c r="L599" s="2">
        <v>2023</v>
      </c>
      <c r="M599" s="2" t="s">
        <v>61</v>
      </c>
      <c r="N599" s="2">
        <v>219191</v>
      </c>
      <c r="O599" s="2">
        <v>688719</v>
      </c>
      <c r="P599" s="2" t="s">
        <v>49</v>
      </c>
    </row>
    <row r="600" spans="1:16">
      <c r="A600">
        <v>2024</v>
      </c>
      <c r="B600" t="s">
        <v>9</v>
      </c>
      <c r="C600" t="s">
        <v>23</v>
      </c>
      <c r="D600" t="s">
        <v>35</v>
      </c>
      <c r="E600">
        <v>3493</v>
      </c>
      <c r="F600">
        <v>4727</v>
      </c>
      <c r="G600">
        <v>9025</v>
      </c>
      <c r="H600">
        <v>375</v>
      </c>
      <c r="I600" t="s">
        <v>18</v>
      </c>
      <c r="J600" s="21">
        <f ca="1">DATE(Table2[[#This Row],[Year]],MONTH(1 &amp; Table2[[#This Row],[Month]]),RANDBETWEEN(1,30))</f>
        <v>45305</v>
      </c>
      <c r="L600" s="2">
        <v>2021</v>
      </c>
      <c r="M600" s="2" t="s">
        <v>55</v>
      </c>
      <c r="N600" s="2">
        <v>135904</v>
      </c>
      <c r="O600" s="2">
        <v>682177</v>
      </c>
      <c r="P600" s="2" t="s">
        <v>53</v>
      </c>
    </row>
    <row r="601" spans="1:16">
      <c r="A601">
        <v>2024</v>
      </c>
      <c r="B601" t="s">
        <v>9</v>
      </c>
      <c r="C601" t="s">
        <v>10</v>
      </c>
      <c r="D601" t="s">
        <v>39</v>
      </c>
      <c r="E601">
        <v>3625</v>
      </c>
      <c r="F601">
        <v>6726</v>
      </c>
      <c r="G601">
        <v>2360</v>
      </c>
      <c r="H601">
        <v>1404</v>
      </c>
      <c r="I601" t="s">
        <v>18</v>
      </c>
      <c r="J601" s="21">
        <f ca="1">DATE(Table2[[#This Row],[Year]],MONTH(1 &amp; Table2[[#This Row],[Month]]),RANDBETWEEN(1,30))</f>
        <v>45296</v>
      </c>
      <c r="L601" s="2">
        <v>2023</v>
      </c>
      <c r="M601" s="2" t="s">
        <v>52</v>
      </c>
      <c r="N601" s="2">
        <v>464331</v>
      </c>
      <c r="O601" s="2">
        <v>281864</v>
      </c>
      <c r="P601" s="2" t="s">
        <v>53</v>
      </c>
    </row>
    <row r="602" spans="1:16">
      <c r="A602">
        <v>2024</v>
      </c>
      <c r="B602" t="s">
        <v>9</v>
      </c>
      <c r="C602" t="s">
        <v>29</v>
      </c>
      <c r="D602" t="s">
        <v>11</v>
      </c>
      <c r="E602">
        <v>3345</v>
      </c>
      <c r="F602">
        <v>7371</v>
      </c>
      <c r="G602">
        <v>7089</v>
      </c>
      <c r="H602">
        <v>1774</v>
      </c>
      <c r="I602" t="s">
        <v>12</v>
      </c>
      <c r="J602" s="21">
        <f ca="1">DATE(Table2[[#This Row],[Year]],MONTH(1 &amp; Table2[[#This Row],[Month]]),RANDBETWEEN(1,30))</f>
        <v>45295</v>
      </c>
      <c r="L602" s="2">
        <v>2025</v>
      </c>
      <c r="M602" s="2" t="s">
        <v>54</v>
      </c>
      <c r="N602" s="2">
        <v>102419</v>
      </c>
      <c r="O602" s="2">
        <v>349712</v>
      </c>
      <c r="P602" s="2" t="s">
        <v>50</v>
      </c>
    </row>
    <row r="603" spans="1:16">
      <c r="A603">
        <v>2024</v>
      </c>
      <c r="B603" t="s">
        <v>9</v>
      </c>
      <c r="C603" t="s">
        <v>15</v>
      </c>
      <c r="D603" t="s">
        <v>43</v>
      </c>
      <c r="E603">
        <v>895</v>
      </c>
      <c r="F603">
        <v>1938</v>
      </c>
      <c r="G603">
        <v>8552</v>
      </c>
      <c r="H603">
        <v>1108</v>
      </c>
      <c r="I603" t="s">
        <v>12</v>
      </c>
      <c r="J603" s="21">
        <f ca="1">DATE(Table2[[#This Row],[Year]],MONTH(1 &amp; Table2[[#This Row],[Month]]),RANDBETWEEN(1,30))</f>
        <v>45311</v>
      </c>
      <c r="L603" s="2">
        <v>2023</v>
      </c>
      <c r="M603" s="2" t="s">
        <v>56</v>
      </c>
      <c r="N603" s="2">
        <v>293544</v>
      </c>
      <c r="O603" s="2">
        <v>250077</v>
      </c>
      <c r="P603" s="2" t="s">
        <v>59</v>
      </c>
    </row>
    <row r="604" spans="1:16">
      <c r="A604">
        <v>2024</v>
      </c>
      <c r="B604" t="s">
        <v>19</v>
      </c>
      <c r="C604" t="s">
        <v>15</v>
      </c>
      <c r="D604" t="s">
        <v>39</v>
      </c>
      <c r="E604">
        <v>1760</v>
      </c>
      <c r="F604">
        <v>7408</v>
      </c>
      <c r="G604">
        <v>4685</v>
      </c>
      <c r="H604">
        <v>2929</v>
      </c>
      <c r="I604" t="s">
        <v>18</v>
      </c>
      <c r="J604" s="21">
        <f ca="1">DATE(Table2[[#This Row],[Year]],MONTH(1 &amp; Table2[[#This Row],[Month]]),RANDBETWEEN(1,30))</f>
        <v>45327</v>
      </c>
      <c r="L604" s="2">
        <v>2020</v>
      </c>
      <c r="M604" s="2" t="s">
        <v>54</v>
      </c>
      <c r="N604" s="2">
        <v>149299</v>
      </c>
      <c r="O604" s="2">
        <v>335859</v>
      </c>
      <c r="P604" s="2" t="s">
        <v>50</v>
      </c>
    </row>
    <row r="605" spans="1:16">
      <c r="A605">
        <v>2024</v>
      </c>
      <c r="B605" t="s">
        <v>19</v>
      </c>
      <c r="C605" t="s">
        <v>21</v>
      </c>
      <c r="D605" t="s">
        <v>16</v>
      </c>
      <c r="E605">
        <v>2590</v>
      </c>
      <c r="F605">
        <v>7255</v>
      </c>
      <c r="G605">
        <v>4704</v>
      </c>
      <c r="H605">
        <v>1280</v>
      </c>
      <c r="I605" t="s">
        <v>28</v>
      </c>
      <c r="J605" s="21">
        <f ca="1">DATE(Table2[[#This Row],[Year]],MONTH(1 &amp; Table2[[#This Row],[Month]]),RANDBETWEEN(1,30))</f>
        <v>45348</v>
      </c>
      <c r="L605" s="2">
        <v>2025</v>
      </c>
      <c r="M605" s="2" t="s">
        <v>52</v>
      </c>
      <c r="N605" s="2">
        <v>223072</v>
      </c>
      <c r="O605" s="2">
        <v>607978</v>
      </c>
      <c r="P605" s="2" t="s">
        <v>59</v>
      </c>
    </row>
    <row r="606" spans="1:16">
      <c r="A606">
        <v>2024</v>
      </c>
      <c r="B606" t="s">
        <v>19</v>
      </c>
      <c r="C606" t="s">
        <v>29</v>
      </c>
      <c r="D606" t="s">
        <v>34</v>
      </c>
      <c r="E606">
        <v>1213</v>
      </c>
      <c r="F606">
        <v>6313</v>
      </c>
      <c r="G606">
        <v>2439</v>
      </c>
      <c r="H606">
        <v>686</v>
      </c>
      <c r="I606" t="s">
        <v>12</v>
      </c>
      <c r="J606" s="21">
        <f ca="1">DATE(Table2[[#This Row],[Year]],MONTH(1 &amp; Table2[[#This Row],[Month]]),RANDBETWEEN(1,30))</f>
        <v>45339</v>
      </c>
      <c r="L606" s="2">
        <v>2024</v>
      </c>
      <c r="M606" s="2" t="s">
        <v>54</v>
      </c>
      <c r="N606" s="2">
        <v>470424</v>
      </c>
      <c r="O606" s="2">
        <v>389158</v>
      </c>
      <c r="P606" s="2" t="s">
        <v>50</v>
      </c>
    </row>
    <row r="607" spans="1:16">
      <c r="A607">
        <v>2024</v>
      </c>
      <c r="B607" t="s">
        <v>19</v>
      </c>
      <c r="C607" t="s">
        <v>10</v>
      </c>
      <c r="D607" t="s">
        <v>16</v>
      </c>
      <c r="E607">
        <v>232</v>
      </c>
      <c r="F607">
        <v>6410</v>
      </c>
      <c r="G607">
        <v>10035</v>
      </c>
      <c r="H607">
        <v>1820</v>
      </c>
      <c r="I607" t="s">
        <v>18</v>
      </c>
      <c r="J607" s="21">
        <f ca="1">DATE(Table2[[#This Row],[Year]],MONTH(1 &amp; Table2[[#This Row],[Month]]),RANDBETWEEN(1,30))</f>
        <v>45336</v>
      </c>
      <c r="L607" s="2">
        <v>2021</v>
      </c>
      <c r="M607" s="2" t="s">
        <v>60</v>
      </c>
      <c r="N607" s="2">
        <v>164678</v>
      </c>
      <c r="O607" s="2">
        <v>244198</v>
      </c>
      <c r="P607" s="2" t="s">
        <v>53</v>
      </c>
    </row>
    <row r="608" spans="1:16">
      <c r="A608">
        <v>2024</v>
      </c>
      <c r="B608" t="s">
        <v>19</v>
      </c>
      <c r="C608" t="s">
        <v>10</v>
      </c>
      <c r="D608" t="s">
        <v>23</v>
      </c>
      <c r="E608">
        <v>222</v>
      </c>
      <c r="F608">
        <v>3635</v>
      </c>
      <c r="G608">
        <v>6841</v>
      </c>
      <c r="H608">
        <v>1957</v>
      </c>
      <c r="I608" t="s">
        <v>18</v>
      </c>
      <c r="J608" s="21">
        <f ca="1">DATE(Table2[[#This Row],[Year]],MONTH(1 &amp; Table2[[#This Row],[Month]]),RANDBETWEEN(1,30))</f>
        <v>45347</v>
      </c>
      <c r="L608" s="2">
        <v>2025</v>
      </c>
      <c r="M608" s="2" t="s">
        <v>56</v>
      </c>
      <c r="N608" s="2">
        <v>486333</v>
      </c>
      <c r="O608" s="2">
        <v>371113</v>
      </c>
      <c r="P608" s="2" t="s">
        <v>49</v>
      </c>
    </row>
    <row r="609" spans="1:16">
      <c r="A609">
        <v>2024</v>
      </c>
      <c r="B609" t="s">
        <v>19</v>
      </c>
      <c r="C609" t="s">
        <v>10</v>
      </c>
      <c r="D609" t="s">
        <v>26</v>
      </c>
      <c r="E609">
        <v>471</v>
      </c>
      <c r="F609">
        <v>9676</v>
      </c>
      <c r="G609">
        <v>7953</v>
      </c>
      <c r="H609">
        <v>2873</v>
      </c>
      <c r="I609" t="s">
        <v>28</v>
      </c>
      <c r="J609" s="21">
        <f ca="1">DATE(Table2[[#This Row],[Year]],MONTH(1 &amp; Table2[[#This Row],[Month]]),RANDBETWEEN(1,30))</f>
        <v>45342</v>
      </c>
      <c r="L609" s="2">
        <v>2020</v>
      </c>
      <c r="M609" s="2" t="s">
        <v>57</v>
      </c>
      <c r="N609" s="2">
        <v>182318</v>
      </c>
      <c r="O609" s="2">
        <v>690692</v>
      </c>
      <c r="P609" s="2" t="s">
        <v>53</v>
      </c>
    </row>
    <row r="610" spans="1:16">
      <c r="A610">
        <v>2024</v>
      </c>
      <c r="B610" t="s">
        <v>19</v>
      </c>
      <c r="C610" t="s">
        <v>29</v>
      </c>
      <c r="D610" t="s">
        <v>26</v>
      </c>
      <c r="E610">
        <v>3977</v>
      </c>
      <c r="F610">
        <v>8038</v>
      </c>
      <c r="G610">
        <v>6071</v>
      </c>
      <c r="H610">
        <v>1861</v>
      </c>
      <c r="I610" t="s">
        <v>18</v>
      </c>
      <c r="J610" s="21">
        <f ca="1">DATE(Table2[[#This Row],[Year]],MONTH(1 &amp; Table2[[#This Row],[Month]]),RANDBETWEEN(1,30))</f>
        <v>45351</v>
      </c>
      <c r="L610" s="2">
        <v>2024</v>
      </c>
      <c r="M610" s="2" t="s">
        <v>61</v>
      </c>
      <c r="N610" s="2">
        <v>396626</v>
      </c>
      <c r="O610" s="2">
        <v>514842</v>
      </c>
      <c r="P610" s="2" t="s">
        <v>53</v>
      </c>
    </row>
    <row r="611" spans="1:16">
      <c r="A611">
        <v>2024</v>
      </c>
      <c r="B611" t="s">
        <v>19</v>
      </c>
      <c r="C611" t="s">
        <v>10</v>
      </c>
      <c r="D611" t="s">
        <v>37</v>
      </c>
      <c r="E611">
        <v>3512</v>
      </c>
      <c r="F611">
        <v>7981</v>
      </c>
      <c r="G611">
        <v>3793</v>
      </c>
      <c r="H611">
        <v>2307</v>
      </c>
      <c r="I611" t="s">
        <v>12</v>
      </c>
      <c r="J611" s="21">
        <f ca="1">DATE(Table2[[#This Row],[Year]],MONTH(1 &amp; Table2[[#This Row],[Month]]),RANDBETWEEN(1,30))</f>
        <v>45347</v>
      </c>
      <c r="L611" s="2">
        <v>2020</v>
      </c>
      <c r="M611" s="2" t="s">
        <v>54</v>
      </c>
      <c r="N611" s="2">
        <v>318671</v>
      </c>
      <c r="O611" s="2">
        <v>408080</v>
      </c>
      <c r="P611" s="2" t="s">
        <v>49</v>
      </c>
    </row>
    <row r="612" spans="1:16">
      <c r="A612">
        <v>2024</v>
      </c>
      <c r="B612" t="s">
        <v>19</v>
      </c>
      <c r="C612" t="s">
        <v>15</v>
      </c>
      <c r="D612" t="s">
        <v>20</v>
      </c>
      <c r="E612">
        <v>3896</v>
      </c>
      <c r="F612">
        <v>1411</v>
      </c>
      <c r="G612">
        <v>4500</v>
      </c>
      <c r="H612">
        <v>2292</v>
      </c>
      <c r="I612" t="s">
        <v>12</v>
      </c>
      <c r="J612" s="21">
        <f ca="1">DATE(Table2[[#This Row],[Year]],MONTH(1 &amp; Table2[[#This Row],[Month]]),RANDBETWEEN(1,30))</f>
        <v>45352</v>
      </c>
      <c r="L612" s="2">
        <v>2023</v>
      </c>
      <c r="M612" s="2" t="s">
        <v>58</v>
      </c>
      <c r="N612" s="2">
        <v>453791</v>
      </c>
      <c r="O612" s="2">
        <v>283269</v>
      </c>
      <c r="P612" s="2" t="s">
        <v>49</v>
      </c>
    </row>
    <row r="613" spans="1:16">
      <c r="A613">
        <v>2024</v>
      </c>
      <c r="B613" t="s">
        <v>19</v>
      </c>
      <c r="C613" t="s">
        <v>23</v>
      </c>
      <c r="D613" t="s">
        <v>35</v>
      </c>
      <c r="E613">
        <v>2008</v>
      </c>
      <c r="F613">
        <v>4990</v>
      </c>
      <c r="G613">
        <v>7026</v>
      </c>
      <c r="H613">
        <v>908</v>
      </c>
      <c r="I613" t="s">
        <v>12</v>
      </c>
      <c r="J613" s="21">
        <f ca="1">DATE(Table2[[#This Row],[Year]],MONTH(1 &amp; Table2[[#This Row],[Month]]),RANDBETWEEN(1,30))</f>
        <v>45348</v>
      </c>
      <c r="L613" s="2">
        <v>2023</v>
      </c>
      <c r="M613" s="2" t="s">
        <v>58</v>
      </c>
      <c r="N613" s="2">
        <v>321597</v>
      </c>
      <c r="O613" s="2">
        <v>693088</v>
      </c>
      <c r="P613" s="2" t="s">
        <v>49</v>
      </c>
    </row>
    <row r="614" spans="1:16">
      <c r="A614">
        <v>2024</v>
      </c>
      <c r="B614" t="s">
        <v>19</v>
      </c>
      <c r="C614" t="s">
        <v>25</v>
      </c>
      <c r="D614" t="s">
        <v>34</v>
      </c>
      <c r="E614">
        <v>1445</v>
      </c>
      <c r="F614">
        <v>7379</v>
      </c>
      <c r="G614">
        <v>2660</v>
      </c>
      <c r="H614">
        <v>349</v>
      </c>
      <c r="I614" t="s">
        <v>28</v>
      </c>
      <c r="J614" s="21">
        <f ca="1">DATE(Table2[[#This Row],[Year]],MONTH(1 &amp; Table2[[#This Row],[Month]]),RANDBETWEEN(1,30))</f>
        <v>45344</v>
      </c>
      <c r="L614" s="2">
        <v>2020</v>
      </c>
      <c r="M614" s="2" t="s">
        <v>54</v>
      </c>
      <c r="N614" s="2">
        <v>313824</v>
      </c>
      <c r="O614" s="2">
        <v>610425</v>
      </c>
      <c r="P614" s="2" t="s">
        <v>53</v>
      </c>
    </row>
    <row r="615" spans="1:16">
      <c r="A615">
        <v>2024</v>
      </c>
      <c r="B615" t="s">
        <v>19</v>
      </c>
      <c r="C615" t="s">
        <v>21</v>
      </c>
      <c r="D615" t="s">
        <v>42</v>
      </c>
      <c r="E615">
        <v>171</v>
      </c>
      <c r="F615">
        <v>8566</v>
      </c>
      <c r="G615">
        <v>6597</v>
      </c>
      <c r="H615">
        <v>512</v>
      </c>
      <c r="I615" t="s">
        <v>18</v>
      </c>
      <c r="J615" s="21">
        <f ca="1">DATE(Table2[[#This Row],[Year]],MONTH(1 &amp; Table2[[#This Row],[Month]]),RANDBETWEEN(1,30))</f>
        <v>45347</v>
      </c>
      <c r="L615" s="2">
        <v>2020</v>
      </c>
      <c r="M615" s="2" t="s">
        <v>51</v>
      </c>
      <c r="N615" s="2">
        <v>178183</v>
      </c>
      <c r="O615" s="2">
        <v>340739</v>
      </c>
      <c r="P615" s="2" t="s">
        <v>49</v>
      </c>
    </row>
    <row r="616" spans="1:16">
      <c r="A616">
        <v>2024</v>
      </c>
      <c r="B616" t="s">
        <v>19</v>
      </c>
      <c r="C616" t="s">
        <v>21</v>
      </c>
      <c r="D616" t="s">
        <v>22</v>
      </c>
      <c r="E616">
        <v>1385</v>
      </c>
      <c r="F616">
        <v>9445</v>
      </c>
      <c r="G616">
        <v>8801</v>
      </c>
      <c r="H616">
        <v>2805</v>
      </c>
      <c r="I616" t="s">
        <v>28</v>
      </c>
      <c r="J616" s="21">
        <f ca="1">DATE(Table2[[#This Row],[Year]],MONTH(1 &amp; Table2[[#This Row],[Month]]),RANDBETWEEN(1,30))</f>
        <v>45334</v>
      </c>
      <c r="L616" s="2">
        <v>2020</v>
      </c>
      <c r="M616" s="2" t="s">
        <v>54</v>
      </c>
      <c r="N616" s="2">
        <v>166492</v>
      </c>
      <c r="O616" s="2">
        <v>235034</v>
      </c>
      <c r="P616" s="2" t="s">
        <v>50</v>
      </c>
    </row>
    <row r="617" spans="1:16">
      <c r="A617">
        <v>2024</v>
      </c>
      <c r="B617" t="s">
        <v>19</v>
      </c>
      <c r="C617" t="s">
        <v>29</v>
      </c>
      <c r="D617" t="s">
        <v>20</v>
      </c>
      <c r="E617">
        <v>2872</v>
      </c>
      <c r="F617">
        <v>7689</v>
      </c>
      <c r="G617">
        <v>10051</v>
      </c>
      <c r="H617">
        <v>2080</v>
      </c>
      <c r="I617" t="s">
        <v>28</v>
      </c>
      <c r="J617" s="21">
        <f ca="1">DATE(Table2[[#This Row],[Year]],MONTH(1 &amp; Table2[[#This Row],[Month]]),RANDBETWEEN(1,30))</f>
        <v>45327</v>
      </c>
      <c r="L617" s="2">
        <v>2025</v>
      </c>
      <c r="M617" s="2" t="s">
        <v>48</v>
      </c>
      <c r="N617" s="2">
        <v>466596</v>
      </c>
      <c r="O617" s="2">
        <v>228313</v>
      </c>
      <c r="P617" s="2" t="s">
        <v>50</v>
      </c>
    </row>
    <row r="618" spans="1:16">
      <c r="A618">
        <v>2024</v>
      </c>
      <c r="B618" t="s">
        <v>19</v>
      </c>
      <c r="C618" t="s">
        <v>25</v>
      </c>
      <c r="D618" t="s">
        <v>35</v>
      </c>
      <c r="E618">
        <v>1785</v>
      </c>
      <c r="F618">
        <v>7576</v>
      </c>
      <c r="G618">
        <v>9227</v>
      </c>
      <c r="H618">
        <v>240</v>
      </c>
      <c r="I618" t="s">
        <v>28</v>
      </c>
      <c r="J618" s="21">
        <f ca="1">DATE(Table2[[#This Row],[Year]],MONTH(1 &amp; Table2[[#This Row],[Month]]),RANDBETWEEN(1,30))</f>
        <v>45327</v>
      </c>
      <c r="L618" s="2">
        <v>2020</v>
      </c>
      <c r="M618" s="2" t="s">
        <v>60</v>
      </c>
      <c r="N618" s="2">
        <v>231135</v>
      </c>
      <c r="O618" s="2">
        <v>260189</v>
      </c>
      <c r="P618" s="2" t="s">
        <v>50</v>
      </c>
    </row>
    <row r="619" spans="1:16">
      <c r="A619">
        <v>2024</v>
      </c>
      <c r="B619" t="s">
        <v>36</v>
      </c>
      <c r="C619" t="s">
        <v>21</v>
      </c>
      <c r="D619" t="s">
        <v>39</v>
      </c>
      <c r="E619">
        <v>1616</v>
      </c>
      <c r="F619">
        <v>5362</v>
      </c>
      <c r="G619">
        <v>8972</v>
      </c>
      <c r="H619">
        <v>526</v>
      </c>
      <c r="I619" t="s">
        <v>18</v>
      </c>
      <c r="J619" s="21">
        <f ca="1">DATE(Table2[[#This Row],[Year]],MONTH(1 &amp; Table2[[#This Row],[Month]]),RANDBETWEEN(1,30))</f>
        <v>45354</v>
      </c>
      <c r="L619" s="2">
        <v>2021</v>
      </c>
      <c r="M619" s="2" t="s">
        <v>48</v>
      </c>
      <c r="N619" s="2">
        <v>248833</v>
      </c>
      <c r="O619" s="2">
        <v>490384</v>
      </c>
      <c r="P619" s="2" t="s">
        <v>50</v>
      </c>
    </row>
    <row r="620" spans="1:16">
      <c r="A620">
        <v>2024</v>
      </c>
      <c r="B620" t="s">
        <v>36</v>
      </c>
      <c r="C620" t="s">
        <v>23</v>
      </c>
      <c r="D620" t="s">
        <v>26</v>
      </c>
      <c r="E620">
        <v>826</v>
      </c>
      <c r="F620">
        <v>6220</v>
      </c>
      <c r="G620">
        <v>6809</v>
      </c>
      <c r="H620">
        <v>621</v>
      </c>
      <c r="I620" t="s">
        <v>18</v>
      </c>
      <c r="J620" s="21">
        <f ca="1">DATE(Table2[[#This Row],[Year]],MONTH(1 &amp; Table2[[#This Row],[Month]]),RANDBETWEEN(1,30))</f>
        <v>45363</v>
      </c>
      <c r="L620" s="2">
        <v>2021</v>
      </c>
      <c r="M620" s="2" t="s">
        <v>61</v>
      </c>
      <c r="N620" s="2">
        <v>403929</v>
      </c>
      <c r="O620" s="2">
        <v>664382</v>
      </c>
      <c r="P620" s="2" t="s">
        <v>59</v>
      </c>
    </row>
    <row r="621" spans="1:16">
      <c r="A621">
        <v>2024</v>
      </c>
      <c r="B621" t="s">
        <v>36</v>
      </c>
      <c r="C621" t="s">
        <v>29</v>
      </c>
      <c r="D621" t="s">
        <v>22</v>
      </c>
      <c r="E621">
        <v>982</v>
      </c>
      <c r="F621">
        <v>2844</v>
      </c>
      <c r="G621">
        <v>9862</v>
      </c>
      <c r="H621">
        <v>639</v>
      </c>
      <c r="I621" t="s">
        <v>28</v>
      </c>
      <c r="J621" s="21">
        <f ca="1">DATE(Table2[[#This Row],[Year]],MONTH(1 &amp; Table2[[#This Row],[Month]]),RANDBETWEEN(1,30))</f>
        <v>45368</v>
      </c>
      <c r="L621" s="2">
        <v>2020</v>
      </c>
      <c r="M621" s="2" t="s">
        <v>56</v>
      </c>
      <c r="N621" s="2">
        <v>235529</v>
      </c>
      <c r="O621" s="2">
        <v>448372</v>
      </c>
      <c r="P621" s="2" t="s">
        <v>59</v>
      </c>
    </row>
    <row r="622" spans="1:16">
      <c r="A622">
        <v>2024</v>
      </c>
      <c r="B622" t="s">
        <v>36</v>
      </c>
      <c r="C622" t="s">
        <v>25</v>
      </c>
      <c r="D622" t="s">
        <v>30</v>
      </c>
      <c r="E622">
        <v>145</v>
      </c>
      <c r="F622">
        <v>7895</v>
      </c>
      <c r="G622">
        <v>2154</v>
      </c>
      <c r="H622">
        <v>1460</v>
      </c>
      <c r="I622" t="s">
        <v>12</v>
      </c>
      <c r="J622" s="21">
        <f ca="1">DATE(Table2[[#This Row],[Year]],MONTH(1 &amp; Table2[[#This Row],[Month]]),RANDBETWEEN(1,30))</f>
        <v>45358</v>
      </c>
      <c r="L622" s="2">
        <v>2022</v>
      </c>
      <c r="M622" s="2" t="s">
        <v>56</v>
      </c>
      <c r="N622" s="2">
        <v>480825</v>
      </c>
      <c r="O622" s="2">
        <v>621473</v>
      </c>
      <c r="P622" s="2" t="s">
        <v>53</v>
      </c>
    </row>
    <row r="623" spans="1:16">
      <c r="A623">
        <v>2024</v>
      </c>
      <c r="B623" t="s">
        <v>36</v>
      </c>
      <c r="C623" t="s">
        <v>23</v>
      </c>
      <c r="D623" t="s">
        <v>16</v>
      </c>
      <c r="E623">
        <v>723</v>
      </c>
      <c r="F623">
        <v>7210</v>
      </c>
      <c r="G623">
        <v>4788</v>
      </c>
      <c r="H623">
        <v>1935</v>
      </c>
      <c r="I623" t="s">
        <v>28</v>
      </c>
      <c r="J623" s="21">
        <f ca="1">DATE(Table2[[#This Row],[Year]],MONTH(1 &amp; Table2[[#This Row],[Month]]),RANDBETWEEN(1,30))</f>
        <v>45377</v>
      </c>
      <c r="L623" s="2">
        <v>2021</v>
      </c>
      <c r="M623" s="2" t="s">
        <v>51</v>
      </c>
      <c r="N623" s="2">
        <v>395171</v>
      </c>
      <c r="O623" s="2">
        <v>422943</v>
      </c>
      <c r="P623" s="2" t="s">
        <v>53</v>
      </c>
    </row>
    <row r="624" spans="1:16">
      <c r="A624">
        <v>2024</v>
      </c>
      <c r="B624" t="s">
        <v>36</v>
      </c>
      <c r="C624" t="s">
        <v>29</v>
      </c>
      <c r="D624" t="s">
        <v>43</v>
      </c>
      <c r="E624">
        <v>2097</v>
      </c>
      <c r="F624">
        <v>7086</v>
      </c>
      <c r="G624">
        <v>4509</v>
      </c>
      <c r="H624">
        <v>1847</v>
      </c>
      <c r="I624" t="s">
        <v>18</v>
      </c>
      <c r="J624" s="21">
        <f ca="1">DATE(Table2[[#This Row],[Year]],MONTH(1 &amp; Table2[[#This Row],[Month]]),RANDBETWEEN(1,30))</f>
        <v>45376</v>
      </c>
      <c r="L624" s="2">
        <v>2025</v>
      </c>
      <c r="M624" s="2" t="s">
        <v>51</v>
      </c>
      <c r="N624" s="2">
        <v>338972</v>
      </c>
      <c r="O624" s="2">
        <v>554292</v>
      </c>
      <c r="P624" s="2" t="s">
        <v>49</v>
      </c>
    </row>
    <row r="625" spans="1:16">
      <c r="A625">
        <v>2024</v>
      </c>
      <c r="B625" t="s">
        <v>36</v>
      </c>
      <c r="C625" t="s">
        <v>10</v>
      </c>
      <c r="D625" t="s">
        <v>37</v>
      </c>
      <c r="E625">
        <v>442</v>
      </c>
      <c r="F625">
        <v>9692</v>
      </c>
      <c r="G625">
        <v>8296</v>
      </c>
      <c r="H625">
        <v>1002</v>
      </c>
      <c r="I625" t="s">
        <v>28</v>
      </c>
      <c r="J625" s="21">
        <f ca="1">DATE(Table2[[#This Row],[Year]],MONTH(1 &amp; Table2[[#This Row],[Month]]),RANDBETWEEN(1,30))</f>
        <v>45352</v>
      </c>
      <c r="L625" s="2">
        <v>2024</v>
      </c>
      <c r="M625" s="2" t="s">
        <v>61</v>
      </c>
      <c r="N625" s="2">
        <v>452358</v>
      </c>
      <c r="O625" s="2">
        <v>565936</v>
      </c>
      <c r="P625" s="2" t="s">
        <v>53</v>
      </c>
    </row>
    <row r="626" spans="1:16">
      <c r="A626">
        <v>2024</v>
      </c>
      <c r="B626" t="s">
        <v>36</v>
      </c>
      <c r="C626" t="s">
        <v>21</v>
      </c>
      <c r="D626" t="s">
        <v>30</v>
      </c>
      <c r="E626">
        <v>2478</v>
      </c>
      <c r="F626">
        <v>2752</v>
      </c>
      <c r="G626">
        <v>9610</v>
      </c>
      <c r="H626">
        <v>1195</v>
      </c>
      <c r="I626" t="s">
        <v>18</v>
      </c>
      <c r="J626" s="21">
        <f ca="1">DATE(Table2[[#This Row],[Year]],MONTH(1 &amp; Table2[[#This Row],[Month]]),RANDBETWEEN(1,30))</f>
        <v>45380</v>
      </c>
      <c r="L626" s="2">
        <v>2020</v>
      </c>
      <c r="M626" s="2" t="s">
        <v>48</v>
      </c>
      <c r="N626" s="2">
        <v>119842</v>
      </c>
      <c r="O626" s="2">
        <v>286982</v>
      </c>
      <c r="P626" s="2" t="s">
        <v>49</v>
      </c>
    </row>
    <row r="627" spans="1:16">
      <c r="A627">
        <v>2024</v>
      </c>
      <c r="B627" t="s">
        <v>36</v>
      </c>
      <c r="C627" t="s">
        <v>21</v>
      </c>
      <c r="D627" t="s">
        <v>20</v>
      </c>
      <c r="E627">
        <v>646</v>
      </c>
      <c r="F627">
        <v>9598</v>
      </c>
      <c r="G627">
        <v>3992</v>
      </c>
      <c r="H627">
        <v>2970</v>
      </c>
      <c r="I627" t="s">
        <v>12</v>
      </c>
      <c r="J627" s="21">
        <f ca="1">DATE(Table2[[#This Row],[Year]],MONTH(1 &amp; Table2[[#This Row],[Month]]),RANDBETWEEN(1,30))</f>
        <v>45377</v>
      </c>
      <c r="L627" s="2">
        <v>2020</v>
      </c>
      <c r="M627" s="2" t="s">
        <v>58</v>
      </c>
      <c r="N627" s="2">
        <v>202825</v>
      </c>
      <c r="O627" s="2">
        <v>380608</v>
      </c>
      <c r="P627" s="2" t="s">
        <v>49</v>
      </c>
    </row>
    <row r="628" spans="1:16">
      <c r="A628">
        <v>2024</v>
      </c>
      <c r="B628" t="s">
        <v>36</v>
      </c>
      <c r="C628" t="s">
        <v>10</v>
      </c>
      <c r="D628" t="s">
        <v>35</v>
      </c>
      <c r="E628">
        <v>1441</v>
      </c>
      <c r="F628">
        <v>7850</v>
      </c>
      <c r="G628">
        <v>9931</v>
      </c>
      <c r="H628">
        <v>863</v>
      </c>
      <c r="I628" t="s">
        <v>28</v>
      </c>
      <c r="J628" s="21">
        <f ca="1">DATE(Table2[[#This Row],[Year]],MONTH(1 &amp; Table2[[#This Row],[Month]]),RANDBETWEEN(1,30))</f>
        <v>45363</v>
      </c>
      <c r="L628" s="2">
        <v>2020</v>
      </c>
      <c r="M628" s="2" t="s">
        <v>51</v>
      </c>
      <c r="N628" s="2">
        <v>286015</v>
      </c>
      <c r="O628" s="2">
        <v>518651</v>
      </c>
      <c r="P628" s="2" t="s">
        <v>53</v>
      </c>
    </row>
    <row r="629" spans="1:16">
      <c r="A629">
        <v>2024</v>
      </c>
      <c r="B629" t="s">
        <v>36</v>
      </c>
      <c r="C629" t="s">
        <v>21</v>
      </c>
      <c r="D629" t="s">
        <v>37</v>
      </c>
      <c r="E629">
        <v>2536</v>
      </c>
      <c r="F629">
        <v>3596</v>
      </c>
      <c r="G629">
        <v>3950</v>
      </c>
      <c r="H629">
        <v>2752</v>
      </c>
      <c r="I629" t="s">
        <v>12</v>
      </c>
      <c r="J629" s="21">
        <f ca="1">DATE(Table2[[#This Row],[Year]],MONTH(1 &amp; Table2[[#This Row],[Month]]),RANDBETWEEN(1,30))</f>
        <v>45375</v>
      </c>
      <c r="L629" s="2">
        <v>2024</v>
      </c>
      <c r="M629" s="2" t="s">
        <v>60</v>
      </c>
      <c r="N629" s="2">
        <v>190791</v>
      </c>
      <c r="O629" s="2">
        <v>235348</v>
      </c>
      <c r="P629" s="2" t="s">
        <v>59</v>
      </c>
    </row>
    <row r="630" spans="1:16">
      <c r="A630">
        <v>2024</v>
      </c>
      <c r="B630" t="s">
        <v>14</v>
      </c>
      <c r="C630" t="s">
        <v>15</v>
      </c>
      <c r="D630" t="s">
        <v>23</v>
      </c>
      <c r="E630">
        <v>1795</v>
      </c>
      <c r="F630">
        <v>6051</v>
      </c>
      <c r="G630">
        <v>8016</v>
      </c>
      <c r="H630">
        <v>291</v>
      </c>
      <c r="I630" t="s">
        <v>18</v>
      </c>
      <c r="J630" s="21">
        <f ca="1">DATE(Table2[[#This Row],[Year]],MONTH(1 &amp; Table2[[#This Row],[Month]]),RANDBETWEEN(1,30))</f>
        <v>45388</v>
      </c>
      <c r="L630" s="2">
        <v>2025</v>
      </c>
      <c r="M630" s="2" t="s">
        <v>52</v>
      </c>
      <c r="N630" s="2">
        <v>397562</v>
      </c>
      <c r="O630" s="2">
        <v>380770</v>
      </c>
      <c r="P630" s="2" t="s">
        <v>49</v>
      </c>
    </row>
    <row r="631" spans="1:16">
      <c r="A631">
        <v>2024</v>
      </c>
      <c r="B631" t="s">
        <v>14</v>
      </c>
      <c r="C631" t="s">
        <v>10</v>
      </c>
      <c r="D631" t="s">
        <v>35</v>
      </c>
      <c r="E631">
        <v>1994</v>
      </c>
      <c r="F631">
        <v>9665</v>
      </c>
      <c r="G631">
        <v>2914</v>
      </c>
      <c r="H631">
        <v>742</v>
      </c>
      <c r="I631" t="s">
        <v>28</v>
      </c>
      <c r="J631" s="21">
        <f ca="1">DATE(Table2[[#This Row],[Year]],MONTH(1 &amp; Table2[[#This Row],[Month]]),RANDBETWEEN(1,30))</f>
        <v>45395</v>
      </c>
      <c r="L631" s="2">
        <v>2022</v>
      </c>
      <c r="M631" s="2" t="s">
        <v>54</v>
      </c>
      <c r="N631" s="2">
        <v>467683</v>
      </c>
      <c r="O631" s="2">
        <v>467400</v>
      </c>
      <c r="P631" s="2" t="s">
        <v>59</v>
      </c>
    </row>
    <row r="632" spans="1:16">
      <c r="A632">
        <v>2024</v>
      </c>
      <c r="B632" t="s">
        <v>14</v>
      </c>
      <c r="C632" t="s">
        <v>23</v>
      </c>
      <c r="D632" t="s">
        <v>43</v>
      </c>
      <c r="E632">
        <v>1925</v>
      </c>
      <c r="F632">
        <v>2089</v>
      </c>
      <c r="G632">
        <v>8163</v>
      </c>
      <c r="H632">
        <v>2062</v>
      </c>
      <c r="I632" t="s">
        <v>12</v>
      </c>
      <c r="J632" s="21">
        <f ca="1">DATE(Table2[[#This Row],[Year]],MONTH(1 &amp; Table2[[#This Row],[Month]]),RANDBETWEEN(1,30))</f>
        <v>45393</v>
      </c>
      <c r="L632" s="2">
        <v>2025</v>
      </c>
      <c r="M632" s="2" t="s">
        <v>61</v>
      </c>
      <c r="N632" s="2">
        <v>269508</v>
      </c>
      <c r="O632" s="2">
        <v>698112</v>
      </c>
      <c r="P632" s="2" t="s">
        <v>53</v>
      </c>
    </row>
    <row r="633" spans="1:16">
      <c r="A633">
        <v>2024</v>
      </c>
      <c r="B633" t="s">
        <v>14</v>
      </c>
      <c r="C633" t="s">
        <v>10</v>
      </c>
      <c r="D633" t="s">
        <v>20</v>
      </c>
      <c r="E633">
        <v>3951</v>
      </c>
      <c r="F633">
        <v>3166</v>
      </c>
      <c r="G633">
        <v>9813</v>
      </c>
      <c r="H633">
        <v>633</v>
      </c>
      <c r="I633" t="s">
        <v>28</v>
      </c>
      <c r="J633" s="21">
        <f ca="1">DATE(Table2[[#This Row],[Year]],MONTH(1 &amp; Table2[[#This Row],[Month]]),RANDBETWEEN(1,30))</f>
        <v>45387</v>
      </c>
      <c r="L633" s="2">
        <v>2020</v>
      </c>
      <c r="M633" s="2" t="s">
        <v>56</v>
      </c>
      <c r="N633" s="2">
        <v>236853</v>
      </c>
      <c r="O633" s="2">
        <v>437267</v>
      </c>
      <c r="P633" s="2" t="s">
        <v>50</v>
      </c>
    </row>
    <row r="634" spans="1:16">
      <c r="A634">
        <v>2024</v>
      </c>
      <c r="B634" t="s">
        <v>14</v>
      </c>
      <c r="C634" t="s">
        <v>29</v>
      </c>
      <c r="D634" t="s">
        <v>38</v>
      </c>
      <c r="E634">
        <v>2382</v>
      </c>
      <c r="F634">
        <v>8465</v>
      </c>
      <c r="G634">
        <v>9387</v>
      </c>
      <c r="H634">
        <v>2681</v>
      </c>
      <c r="I634" t="s">
        <v>28</v>
      </c>
      <c r="J634" s="21">
        <f ca="1">DATE(Table2[[#This Row],[Year]],MONTH(1 &amp; Table2[[#This Row],[Month]]),RANDBETWEEN(1,30))</f>
        <v>45411</v>
      </c>
      <c r="L634" s="2">
        <v>2021</v>
      </c>
      <c r="M634" s="2" t="s">
        <v>60</v>
      </c>
      <c r="N634" s="2">
        <v>484620</v>
      </c>
      <c r="O634" s="2">
        <v>608028</v>
      </c>
      <c r="P634" s="2" t="s">
        <v>53</v>
      </c>
    </row>
    <row r="635" spans="1:16">
      <c r="A635">
        <v>2024</v>
      </c>
      <c r="B635" t="s">
        <v>14</v>
      </c>
      <c r="C635" t="s">
        <v>23</v>
      </c>
      <c r="D635" t="s">
        <v>34</v>
      </c>
      <c r="E635">
        <v>613</v>
      </c>
      <c r="F635">
        <v>8214</v>
      </c>
      <c r="G635">
        <v>6165</v>
      </c>
      <c r="H635">
        <v>1947</v>
      </c>
      <c r="I635" t="s">
        <v>12</v>
      </c>
      <c r="J635" s="21">
        <f ca="1">DATE(Table2[[#This Row],[Year]],MONTH(1 &amp; Table2[[#This Row],[Month]]),RANDBETWEEN(1,30))</f>
        <v>45411</v>
      </c>
      <c r="L635" s="2">
        <v>2021</v>
      </c>
      <c r="M635" s="2" t="s">
        <v>60</v>
      </c>
      <c r="N635" s="2">
        <v>277941</v>
      </c>
      <c r="O635" s="2">
        <v>416034</v>
      </c>
      <c r="P635" s="2" t="s">
        <v>59</v>
      </c>
    </row>
    <row r="636" spans="1:16">
      <c r="A636">
        <v>2024</v>
      </c>
      <c r="B636" t="s">
        <v>14</v>
      </c>
      <c r="C636" t="s">
        <v>29</v>
      </c>
      <c r="D636" t="s">
        <v>39</v>
      </c>
      <c r="E636">
        <v>1299</v>
      </c>
      <c r="F636">
        <v>4311</v>
      </c>
      <c r="G636">
        <v>3617</v>
      </c>
      <c r="H636">
        <v>977</v>
      </c>
      <c r="I636" t="s">
        <v>28</v>
      </c>
      <c r="J636" s="21">
        <f ca="1">DATE(Table2[[#This Row],[Year]],MONTH(1 &amp; Table2[[#This Row],[Month]]),RANDBETWEEN(1,30))</f>
        <v>45390</v>
      </c>
      <c r="L636" s="2">
        <v>2023</v>
      </c>
      <c r="M636" s="2" t="s">
        <v>48</v>
      </c>
      <c r="N636" s="2">
        <v>295619</v>
      </c>
      <c r="O636" s="2">
        <v>598195</v>
      </c>
      <c r="P636" s="2" t="s">
        <v>49</v>
      </c>
    </row>
    <row r="637" spans="1:16">
      <c r="A637">
        <v>2024</v>
      </c>
      <c r="B637" t="s">
        <v>14</v>
      </c>
      <c r="C637" t="s">
        <v>15</v>
      </c>
      <c r="D637" t="s">
        <v>16</v>
      </c>
      <c r="E637">
        <v>3811</v>
      </c>
      <c r="F637">
        <v>3040</v>
      </c>
      <c r="G637">
        <v>7735</v>
      </c>
      <c r="H637">
        <v>2997</v>
      </c>
      <c r="I637" t="s">
        <v>12</v>
      </c>
      <c r="J637" s="21">
        <f ca="1">DATE(Table2[[#This Row],[Year]],MONTH(1 &amp; Table2[[#This Row],[Month]]),RANDBETWEEN(1,30))</f>
        <v>45395</v>
      </c>
      <c r="L637" s="2">
        <v>2024</v>
      </c>
      <c r="M637" s="2" t="s">
        <v>51</v>
      </c>
      <c r="N637" s="2">
        <v>240660</v>
      </c>
      <c r="O637" s="2">
        <v>497707</v>
      </c>
      <c r="P637" s="2" t="s">
        <v>59</v>
      </c>
    </row>
    <row r="638" spans="1:16">
      <c r="A638">
        <v>2024</v>
      </c>
      <c r="B638" t="s">
        <v>14</v>
      </c>
      <c r="C638" t="s">
        <v>10</v>
      </c>
      <c r="D638" t="s">
        <v>30</v>
      </c>
      <c r="E638">
        <v>963</v>
      </c>
      <c r="F638">
        <v>6908</v>
      </c>
      <c r="G638">
        <v>9852</v>
      </c>
      <c r="H638">
        <v>1561</v>
      </c>
      <c r="I638" t="s">
        <v>28</v>
      </c>
      <c r="J638" s="21">
        <f ca="1">DATE(Table2[[#This Row],[Year]],MONTH(1 &amp; Table2[[#This Row],[Month]]),RANDBETWEEN(1,30))</f>
        <v>45385</v>
      </c>
      <c r="L638" s="2">
        <v>2023</v>
      </c>
      <c r="M638" s="2" t="s">
        <v>52</v>
      </c>
      <c r="N638" s="2">
        <v>463819</v>
      </c>
      <c r="O638" s="2">
        <v>643298</v>
      </c>
      <c r="P638" s="2" t="s">
        <v>53</v>
      </c>
    </row>
    <row r="639" spans="1:16">
      <c r="A639">
        <v>2024</v>
      </c>
      <c r="B639" t="s">
        <v>14</v>
      </c>
      <c r="C639" t="s">
        <v>15</v>
      </c>
      <c r="D639" t="s">
        <v>38</v>
      </c>
      <c r="E639">
        <v>164</v>
      </c>
      <c r="F639">
        <v>6984</v>
      </c>
      <c r="G639">
        <v>4946</v>
      </c>
      <c r="H639">
        <v>2319</v>
      </c>
      <c r="I639" t="s">
        <v>12</v>
      </c>
      <c r="J639" s="21">
        <f ca="1">DATE(Table2[[#This Row],[Year]],MONTH(1 &amp; Table2[[#This Row],[Month]]),RANDBETWEEN(1,30))</f>
        <v>45384</v>
      </c>
      <c r="L639" s="2">
        <v>2021</v>
      </c>
      <c r="M639" s="2" t="s">
        <v>48</v>
      </c>
      <c r="N639" s="2">
        <v>327582</v>
      </c>
      <c r="O639" s="2">
        <v>405471</v>
      </c>
      <c r="P639" s="2" t="s">
        <v>59</v>
      </c>
    </row>
    <row r="640" spans="1:16">
      <c r="A640">
        <v>2024</v>
      </c>
      <c r="B640" t="s">
        <v>14</v>
      </c>
      <c r="C640" t="s">
        <v>23</v>
      </c>
      <c r="D640" t="s">
        <v>26</v>
      </c>
      <c r="E640">
        <v>394</v>
      </c>
      <c r="F640">
        <v>6888</v>
      </c>
      <c r="G640">
        <v>5932</v>
      </c>
      <c r="H640">
        <v>819</v>
      </c>
      <c r="I640" t="s">
        <v>12</v>
      </c>
      <c r="J640" s="21">
        <f ca="1">DATE(Table2[[#This Row],[Year]],MONTH(1 &amp; Table2[[#This Row],[Month]]),RANDBETWEEN(1,30))</f>
        <v>45391</v>
      </c>
      <c r="L640" s="2">
        <v>2022</v>
      </c>
      <c r="M640" s="2" t="s">
        <v>54</v>
      </c>
      <c r="N640" s="2">
        <v>404870</v>
      </c>
      <c r="O640" s="2">
        <v>502152</v>
      </c>
      <c r="P640" s="2" t="s">
        <v>49</v>
      </c>
    </row>
    <row r="641" spans="1:16">
      <c r="A641">
        <v>2024</v>
      </c>
      <c r="B641" t="s">
        <v>14</v>
      </c>
      <c r="C641" t="s">
        <v>25</v>
      </c>
      <c r="D641" t="s">
        <v>42</v>
      </c>
      <c r="E641">
        <v>2734</v>
      </c>
      <c r="F641">
        <v>4963</v>
      </c>
      <c r="G641">
        <v>9327</v>
      </c>
      <c r="H641">
        <v>2239</v>
      </c>
      <c r="I641" t="s">
        <v>18</v>
      </c>
      <c r="J641" s="21">
        <f ca="1">DATE(Table2[[#This Row],[Year]],MONTH(1 &amp; Table2[[#This Row],[Month]]),RANDBETWEEN(1,30))</f>
        <v>45412</v>
      </c>
      <c r="L641" s="2">
        <v>2022</v>
      </c>
      <c r="M641" s="2" t="s">
        <v>55</v>
      </c>
      <c r="N641" s="2">
        <v>424723</v>
      </c>
      <c r="O641" s="2">
        <v>515009</v>
      </c>
      <c r="P641" s="2" t="s">
        <v>59</v>
      </c>
    </row>
    <row r="642" spans="1:16">
      <c r="A642">
        <v>2024</v>
      </c>
      <c r="B642" t="s">
        <v>14</v>
      </c>
      <c r="C642" t="s">
        <v>29</v>
      </c>
      <c r="D642" t="s">
        <v>16</v>
      </c>
      <c r="E642">
        <v>2894</v>
      </c>
      <c r="F642">
        <v>7088</v>
      </c>
      <c r="G642">
        <v>5978</v>
      </c>
      <c r="H642">
        <v>891</v>
      </c>
      <c r="I642" t="s">
        <v>28</v>
      </c>
      <c r="J642" s="21">
        <f ca="1">DATE(Table2[[#This Row],[Year]],MONTH(1 &amp; Table2[[#This Row],[Month]]),RANDBETWEEN(1,30))</f>
        <v>45408</v>
      </c>
      <c r="L642" s="2">
        <v>2023</v>
      </c>
      <c r="M642" s="2" t="s">
        <v>54</v>
      </c>
      <c r="N642" s="2">
        <v>236740</v>
      </c>
      <c r="O642" s="2">
        <v>408691</v>
      </c>
      <c r="P642" s="2" t="s">
        <v>49</v>
      </c>
    </row>
    <row r="643" spans="1:16">
      <c r="A643">
        <v>2024</v>
      </c>
      <c r="B643" t="s">
        <v>14</v>
      </c>
      <c r="C643" t="s">
        <v>15</v>
      </c>
      <c r="D643" t="s">
        <v>17</v>
      </c>
      <c r="E643">
        <v>1770</v>
      </c>
      <c r="F643">
        <v>4195</v>
      </c>
      <c r="G643">
        <v>11560</v>
      </c>
      <c r="H643">
        <v>1115</v>
      </c>
      <c r="I643" t="s">
        <v>18</v>
      </c>
      <c r="J643" s="21">
        <f ca="1">DATE(Table2[[#This Row],[Year]],MONTH(1 &amp; Table2[[#This Row],[Month]]),RANDBETWEEN(1,30))</f>
        <v>45390</v>
      </c>
      <c r="L643" s="2">
        <v>2021</v>
      </c>
      <c r="M643" s="2" t="s">
        <v>54</v>
      </c>
      <c r="N643" s="2">
        <v>273478</v>
      </c>
      <c r="O643" s="2">
        <v>272156</v>
      </c>
      <c r="P643" s="2" t="s">
        <v>53</v>
      </c>
    </row>
    <row r="644" spans="1:16">
      <c r="A644">
        <v>2024</v>
      </c>
      <c r="B644" t="s">
        <v>14</v>
      </c>
      <c r="C644" t="s">
        <v>25</v>
      </c>
      <c r="D644" t="s">
        <v>39</v>
      </c>
      <c r="E644">
        <v>939</v>
      </c>
      <c r="F644">
        <v>2107</v>
      </c>
      <c r="G644">
        <v>6743</v>
      </c>
      <c r="H644">
        <v>873</v>
      </c>
      <c r="I644" t="s">
        <v>12</v>
      </c>
      <c r="J644" s="21">
        <f ca="1">DATE(Table2[[#This Row],[Year]],MONTH(1 &amp; Table2[[#This Row],[Month]]),RANDBETWEEN(1,30))</f>
        <v>45406</v>
      </c>
      <c r="L644" s="2">
        <v>2021</v>
      </c>
      <c r="M644" s="2" t="s">
        <v>57</v>
      </c>
      <c r="N644" s="2">
        <v>439389</v>
      </c>
      <c r="O644" s="2">
        <v>246780</v>
      </c>
      <c r="P644" s="2" t="s">
        <v>53</v>
      </c>
    </row>
    <row r="645" spans="1:16">
      <c r="A645">
        <v>2024</v>
      </c>
      <c r="B645" t="s">
        <v>33</v>
      </c>
      <c r="C645" t="s">
        <v>29</v>
      </c>
      <c r="D645" t="s">
        <v>37</v>
      </c>
      <c r="E645">
        <v>3012</v>
      </c>
      <c r="F645">
        <v>8937</v>
      </c>
      <c r="G645">
        <v>8715</v>
      </c>
      <c r="H645">
        <v>2127</v>
      </c>
      <c r="I645" t="s">
        <v>18</v>
      </c>
      <c r="J645" s="21">
        <f ca="1">DATE(Table2[[#This Row],[Year]],MONTH(1 &amp; Table2[[#This Row],[Month]]),RANDBETWEEN(1,30))</f>
        <v>45430</v>
      </c>
      <c r="L645" s="2">
        <v>2020</v>
      </c>
      <c r="M645" s="2" t="s">
        <v>48</v>
      </c>
      <c r="N645" s="2">
        <v>245302</v>
      </c>
      <c r="O645" s="2">
        <v>208336</v>
      </c>
      <c r="P645" s="2" t="s">
        <v>50</v>
      </c>
    </row>
    <row r="646" spans="1:16">
      <c r="A646">
        <v>2024</v>
      </c>
      <c r="B646" t="s">
        <v>33</v>
      </c>
      <c r="C646" t="s">
        <v>25</v>
      </c>
      <c r="D646" t="s">
        <v>22</v>
      </c>
      <c r="E646">
        <v>679</v>
      </c>
      <c r="F646">
        <v>6044</v>
      </c>
      <c r="G646">
        <v>10398</v>
      </c>
      <c r="H646">
        <v>344</v>
      </c>
      <c r="I646" t="s">
        <v>12</v>
      </c>
      <c r="J646" s="21">
        <f ca="1">DATE(Table2[[#This Row],[Year]],MONTH(1 &amp; Table2[[#This Row],[Month]]),RANDBETWEEN(1,30))</f>
        <v>45430</v>
      </c>
      <c r="L646" s="2">
        <v>2024</v>
      </c>
      <c r="M646" s="2" t="s">
        <v>51</v>
      </c>
      <c r="N646" s="2">
        <v>417574</v>
      </c>
      <c r="O646" s="2">
        <v>636767</v>
      </c>
      <c r="P646" s="2" t="s">
        <v>49</v>
      </c>
    </row>
    <row r="647" spans="1:16">
      <c r="A647">
        <v>2024</v>
      </c>
      <c r="B647" t="s">
        <v>33</v>
      </c>
      <c r="C647" t="s">
        <v>25</v>
      </c>
      <c r="D647" t="s">
        <v>22</v>
      </c>
      <c r="E647">
        <v>446</v>
      </c>
      <c r="F647">
        <v>4128</v>
      </c>
      <c r="G647">
        <v>10285</v>
      </c>
      <c r="H647">
        <v>2974</v>
      </c>
      <c r="I647" t="s">
        <v>28</v>
      </c>
      <c r="J647" s="21">
        <f ca="1">DATE(Table2[[#This Row],[Year]],MONTH(1 &amp; Table2[[#This Row],[Month]]),RANDBETWEEN(1,30))</f>
        <v>45441</v>
      </c>
      <c r="L647" s="2">
        <v>2025</v>
      </c>
      <c r="M647" s="2" t="s">
        <v>61</v>
      </c>
      <c r="N647" s="2">
        <v>476397</v>
      </c>
      <c r="O647" s="2">
        <v>318237</v>
      </c>
      <c r="P647" s="2" t="s">
        <v>53</v>
      </c>
    </row>
    <row r="648" spans="1:16">
      <c r="A648">
        <v>2024</v>
      </c>
      <c r="B648" t="s">
        <v>33</v>
      </c>
      <c r="C648" t="s">
        <v>23</v>
      </c>
      <c r="D648" t="s">
        <v>17</v>
      </c>
      <c r="E648">
        <v>3924</v>
      </c>
      <c r="F648">
        <v>2818</v>
      </c>
      <c r="G648">
        <v>4876</v>
      </c>
      <c r="H648">
        <v>962</v>
      </c>
      <c r="I648" t="s">
        <v>12</v>
      </c>
      <c r="J648" s="21">
        <f ca="1">DATE(Table2[[#This Row],[Year]],MONTH(1 &amp; Table2[[#This Row],[Month]]),RANDBETWEEN(1,30))</f>
        <v>45431</v>
      </c>
      <c r="L648" s="2">
        <v>2022</v>
      </c>
      <c r="M648" s="2" t="s">
        <v>55</v>
      </c>
      <c r="N648" s="2">
        <v>349284</v>
      </c>
      <c r="O648" s="2">
        <v>305753</v>
      </c>
      <c r="P648" s="2" t="s">
        <v>49</v>
      </c>
    </row>
    <row r="649" spans="1:16">
      <c r="A649">
        <v>2024</v>
      </c>
      <c r="B649" t="s">
        <v>33</v>
      </c>
      <c r="C649" t="s">
        <v>15</v>
      </c>
      <c r="D649" t="s">
        <v>26</v>
      </c>
      <c r="E649">
        <v>1258</v>
      </c>
      <c r="F649">
        <v>2783</v>
      </c>
      <c r="G649">
        <v>7906</v>
      </c>
      <c r="H649">
        <v>1267</v>
      </c>
      <c r="I649" t="s">
        <v>12</v>
      </c>
      <c r="J649" s="21">
        <f ca="1">DATE(Table2[[#This Row],[Year]],MONTH(1 &amp; Table2[[#This Row],[Month]]),RANDBETWEEN(1,30))</f>
        <v>45442</v>
      </c>
      <c r="L649" s="2">
        <v>2025</v>
      </c>
      <c r="M649" s="2" t="s">
        <v>57</v>
      </c>
      <c r="N649" s="2">
        <v>396651</v>
      </c>
      <c r="O649" s="2">
        <v>568018</v>
      </c>
      <c r="P649" s="2" t="s">
        <v>50</v>
      </c>
    </row>
    <row r="650" spans="1:16">
      <c r="A650">
        <v>2024</v>
      </c>
      <c r="B650" t="s">
        <v>33</v>
      </c>
      <c r="C650" t="s">
        <v>10</v>
      </c>
      <c r="D650" t="s">
        <v>42</v>
      </c>
      <c r="E650">
        <v>2858</v>
      </c>
      <c r="F650">
        <v>6786</v>
      </c>
      <c r="G650">
        <v>3059</v>
      </c>
      <c r="H650">
        <v>1740</v>
      </c>
      <c r="I650" t="s">
        <v>18</v>
      </c>
      <c r="J650" s="21">
        <f ca="1">DATE(Table2[[#This Row],[Year]],MONTH(1 &amp; Table2[[#This Row],[Month]]),RANDBETWEEN(1,30))</f>
        <v>45441</v>
      </c>
      <c r="L650" s="2">
        <v>2024</v>
      </c>
      <c r="M650" s="2" t="s">
        <v>48</v>
      </c>
      <c r="N650" s="2">
        <v>422039</v>
      </c>
      <c r="O650" s="2">
        <v>360008</v>
      </c>
      <c r="P650" s="2" t="s">
        <v>59</v>
      </c>
    </row>
    <row r="651" spans="1:16">
      <c r="A651">
        <v>2024</v>
      </c>
      <c r="B651" t="s">
        <v>33</v>
      </c>
      <c r="C651" t="s">
        <v>10</v>
      </c>
      <c r="D651" t="s">
        <v>38</v>
      </c>
      <c r="E651">
        <v>1951</v>
      </c>
      <c r="F651">
        <v>1248</v>
      </c>
      <c r="G651">
        <v>2084</v>
      </c>
      <c r="H651">
        <v>854</v>
      </c>
      <c r="I651" t="s">
        <v>12</v>
      </c>
      <c r="J651" s="21">
        <f ca="1">DATE(Table2[[#This Row],[Year]],MONTH(1 &amp; Table2[[#This Row],[Month]]),RANDBETWEEN(1,30))</f>
        <v>45418</v>
      </c>
      <c r="L651" s="2">
        <v>2020</v>
      </c>
      <c r="M651" s="2" t="s">
        <v>55</v>
      </c>
      <c r="N651" s="2">
        <v>438016</v>
      </c>
      <c r="O651" s="2">
        <v>453022</v>
      </c>
      <c r="P651" s="2" t="s">
        <v>50</v>
      </c>
    </row>
    <row r="652" spans="1:16">
      <c r="A652">
        <v>2024</v>
      </c>
      <c r="B652" t="s">
        <v>33</v>
      </c>
      <c r="C652" t="s">
        <v>15</v>
      </c>
      <c r="D652" t="s">
        <v>20</v>
      </c>
      <c r="E652">
        <v>467</v>
      </c>
      <c r="F652">
        <v>5523</v>
      </c>
      <c r="G652">
        <v>10040</v>
      </c>
      <c r="H652">
        <v>1899</v>
      </c>
      <c r="I652" t="s">
        <v>28</v>
      </c>
      <c r="J652" s="21">
        <f ca="1">DATE(Table2[[#This Row],[Year]],MONTH(1 &amp; Table2[[#This Row],[Month]]),RANDBETWEEN(1,30))</f>
        <v>45437</v>
      </c>
      <c r="L652" s="2">
        <v>2020</v>
      </c>
      <c r="M652" s="2" t="s">
        <v>51</v>
      </c>
      <c r="N652" s="2">
        <v>258021</v>
      </c>
      <c r="O652" s="2">
        <v>281256</v>
      </c>
      <c r="P652" s="2" t="s">
        <v>50</v>
      </c>
    </row>
    <row r="653" spans="1:16">
      <c r="A653">
        <v>2024</v>
      </c>
      <c r="B653" t="s">
        <v>33</v>
      </c>
      <c r="C653" t="s">
        <v>29</v>
      </c>
      <c r="D653" t="s">
        <v>17</v>
      </c>
      <c r="E653">
        <v>911</v>
      </c>
      <c r="F653">
        <v>9623</v>
      </c>
      <c r="G653">
        <v>9573</v>
      </c>
      <c r="H653">
        <v>2269</v>
      </c>
      <c r="I653" t="s">
        <v>28</v>
      </c>
      <c r="J653" s="21">
        <f ca="1">DATE(Table2[[#This Row],[Year]],MONTH(1 &amp; Table2[[#This Row],[Month]]),RANDBETWEEN(1,30))</f>
        <v>45442</v>
      </c>
      <c r="L653" s="2">
        <v>2020</v>
      </c>
      <c r="M653" s="2" t="s">
        <v>58</v>
      </c>
      <c r="N653" s="2">
        <v>120505</v>
      </c>
      <c r="O653" s="2">
        <v>679873</v>
      </c>
      <c r="P653" s="2" t="s">
        <v>59</v>
      </c>
    </row>
    <row r="654" spans="1:16">
      <c r="A654">
        <v>2024</v>
      </c>
      <c r="B654" t="s">
        <v>33</v>
      </c>
      <c r="C654" t="s">
        <v>25</v>
      </c>
      <c r="D654" t="s">
        <v>22</v>
      </c>
      <c r="E654">
        <v>1149</v>
      </c>
      <c r="F654">
        <v>1621</v>
      </c>
      <c r="G654">
        <v>4825</v>
      </c>
      <c r="H654">
        <v>489</v>
      </c>
      <c r="I654" t="s">
        <v>12</v>
      </c>
      <c r="J654" s="21">
        <f ca="1">DATE(Table2[[#This Row],[Year]],MONTH(1 &amp; Table2[[#This Row],[Month]]),RANDBETWEEN(1,30))</f>
        <v>45417</v>
      </c>
      <c r="L654" s="2">
        <v>2020</v>
      </c>
      <c r="M654" s="2" t="s">
        <v>54</v>
      </c>
      <c r="N654" s="2">
        <v>260751</v>
      </c>
      <c r="O654" s="2">
        <v>625791</v>
      </c>
      <c r="P654" s="2" t="s">
        <v>59</v>
      </c>
    </row>
    <row r="655" spans="1:16">
      <c r="A655">
        <v>2024</v>
      </c>
      <c r="B655" t="s">
        <v>27</v>
      </c>
      <c r="C655" t="s">
        <v>25</v>
      </c>
      <c r="D655" t="s">
        <v>22</v>
      </c>
      <c r="E655">
        <v>2539</v>
      </c>
      <c r="F655">
        <v>1996</v>
      </c>
      <c r="G655">
        <v>9484</v>
      </c>
      <c r="H655">
        <v>2455</v>
      </c>
      <c r="I655" t="s">
        <v>18</v>
      </c>
      <c r="J655" s="21">
        <f ca="1">DATE(Table2[[#This Row],[Year]],MONTH(1 &amp; Table2[[#This Row],[Month]]),RANDBETWEEN(1,30))</f>
        <v>45449</v>
      </c>
      <c r="L655" s="2">
        <v>2024</v>
      </c>
      <c r="M655" s="2" t="s">
        <v>54</v>
      </c>
      <c r="N655" s="2">
        <v>369502</v>
      </c>
      <c r="O655" s="2">
        <v>631895</v>
      </c>
      <c r="P655" s="2" t="s">
        <v>59</v>
      </c>
    </row>
    <row r="656" spans="1:16">
      <c r="A656">
        <v>2024</v>
      </c>
      <c r="B656" t="s">
        <v>27</v>
      </c>
      <c r="C656" t="s">
        <v>25</v>
      </c>
      <c r="D656" t="s">
        <v>26</v>
      </c>
      <c r="E656">
        <v>3555</v>
      </c>
      <c r="F656">
        <v>4065</v>
      </c>
      <c r="G656">
        <v>6335</v>
      </c>
      <c r="H656">
        <v>2580</v>
      </c>
      <c r="I656" t="s">
        <v>12</v>
      </c>
      <c r="J656" s="21">
        <f ca="1">DATE(Table2[[#This Row],[Year]],MONTH(1 &amp; Table2[[#This Row],[Month]]),RANDBETWEEN(1,30))</f>
        <v>45454</v>
      </c>
      <c r="L656" s="2">
        <v>2022</v>
      </c>
      <c r="M656" s="2" t="s">
        <v>56</v>
      </c>
      <c r="N656" s="2">
        <v>280140</v>
      </c>
      <c r="O656" s="2">
        <v>403387</v>
      </c>
      <c r="P656" s="2" t="s">
        <v>50</v>
      </c>
    </row>
    <row r="657" spans="1:16">
      <c r="A657">
        <v>2024</v>
      </c>
      <c r="B657" t="s">
        <v>27</v>
      </c>
      <c r="C657" t="s">
        <v>21</v>
      </c>
      <c r="D657" t="s">
        <v>42</v>
      </c>
      <c r="E657">
        <v>642</v>
      </c>
      <c r="F657">
        <v>6730</v>
      </c>
      <c r="G657">
        <v>3244</v>
      </c>
      <c r="H657">
        <v>1471</v>
      </c>
      <c r="I657" t="s">
        <v>28</v>
      </c>
      <c r="J657" s="21">
        <f ca="1">DATE(Table2[[#This Row],[Year]],MONTH(1 &amp; Table2[[#This Row],[Month]]),RANDBETWEEN(1,30))</f>
        <v>45447</v>
      </c>
      <c r="L657" s="2">
        <v>2020</v>
      </c>
      <c r="M657" s="2" t="s">
        <v>54</v>
      </c>
      <c r="N657" s="2">
        <v>399585</v>
      </c>
      <c r="O657" s="2">
        <v>581181</v>
      </c>
      <c r="P657" s="2" t="s">
        <v>53</v>
      </c>
    </row>
    <row r="658" spans="1:16">
      <c r="A658">
        <v>2024</v>
      </c>
      <c r="B658" t="s">
        <v>27</v>
      </c>
      <c r="C658" t="s">
        <v>23</v>
      </c>
      <c r="D658" t="s">
        <v>43</v>
      </c>
      <c r="E658">
        <v>2505</v>
      </c>
      <c r="F658">
        <v>6767</v>
      </c>
      <c r="G658">
        <v>2469</v>
      </c>
      <c r="H658">
        <v>2925</v>
      </c>
      <c r="I658" t="s">
        <v>12</v>
      </c>
      <c r="J658" s="21">
        <f ca="1">DATE(Table2[[#This Row],[Year]],MONTH(1 &amp; Table2[[#This Row],[Month]]),RANDBETWEEN(1,30))</f>
        <v>45469</v>
      </c>
      <c r="L658" s="2">
        <v>2024</v>
      </c>
      <c r="M658" s="2" t="s">
        <v>48</v>
      </c>
      <c r="N658" s="2">
        <v>242793</v>
      </c>
      <c r="O658" s="2">
        <v>271938</v>
      </c>
      <c r="P658" s="2" t="s">
        <v>53</v>
      </c>
    </row>
    <row r="659" spans="1:16">
      <c r="A659">
        <v>2024</v>
      </c>
      <c r="B659" t="s">
        <v>27</v>
      </c>
      <c r="C659" t="s">
        <v>15</v>
      </c>
      <c r="D659" t="s">
        <v>20</v>
      </c>
      <c r="E659">
        <v>3359</v>
      </c>
      <c r="F659">
        <v>3112</v>
      </c>
      <c r="G659">
        <v>10341</v>
      </c>
      <c r="H659">
        <v>1290</v>
      </c>
      <c r="I659" t="s">
        <v>28</v>
      </c>
      <c r="J659" s="21">
        <f ca="1">DATE(Table2[[#This Row],[Year]],MONTH(1 &amp; Table2[[#This Row],[Month]]),RANDBETWEEN(1,30))</f>
        <v>45470</v>
      </c>
      <c r="L659" s="2">
        <v>2023</v>
      </c>
      <c r="M659" s="2" t="s">
        <v>54</v>
      </c>
      <c r="N659" s="2">
        <v>353898</v>
      </c>
      <c r="O659" s="2">
        <v>204310</v>
      </c>
      <c r="P659" s="2" t="s">
        <v>53</v>
      </c>
    </row>
    <row r="660" spans="1:16">
      <c r="A660">
        <v>2024</v>
      </c>
      <c r="B660" t="s">
        <v>27</v>
      </c>
      <c r="C660" t="s">
        <v>21</v>
      </c>
      <c r="D660" t="s">
        <v>23</v>
      </c>
      <c r="E660">
        <v>77</v>
      </c>
      <c r="F660">
        <v>3270</v>
      </c>
      <c r="G660">
        <v>4905</v>
      </c>
      <c r="H660">
        <v>772</v>
      </c>
      <c r="I660" t="s">
        <v>28</v>
      </c>
      <c r="J660" s="21">
        <f ca="1">DATE(Table2[[#This Row],[Year]],MONTH(1 &amp; Table2[[#This Row],[Month]]),RANDBETWEEN(1,30))</f>
        <v>45463</v>
      </c>
      <c r="L660" s="2">
        <v>2021</v>
      </c>
      <c r="M660" s="2" t="s">
        <v>56</v>
      </c>
      <c r="N660" s="2">
        <v>174568</v>
      </c>
      <c r="O660" s="2">
        <v>209986</v>
      </c>
      <c r="P660" s="2" t="s">
        <v>53</v>
      </c>
    </row>
    <row r="661" spans="1:16">
      <c r="A661">
        <v>2024</v>
      </c>
      <c r="B661" t="s">
        <v>27</v>
      </c>
      <c r="C661" t="s">
        <v>15</v>
      </c>
      <c r="D661" t="s">
        <v>38</v>
      </c>
      <c r="E661">
        <v>2711</v>
      </c>
      <c r="F661">
        <v>3448</v>
      </c>
      <c r="G661">
        <v>7225</v>
      </c>
      <c r="H661">
        <v>927</v>
      </c>
      <c r="I661" t="s">
        <v>28</v>
      </c>
      <c r="J661" s="21">
        <f ca="1">DATE(Table2[[#This Row],[Year]],MONTH(1 &amp; Table2[[#This Row],[Month]]),RANDBETWEEN(1,30))</f>
        <v>45473</v>
      </c>
      <c r="L661" s="2">
        <v>2020</v>
      </c>
      <c r="M661" s="2" t="s">
        <v>48</v>
      </c>
      <c r="N661" s="2">
        <v>399748</v>
      </c>
      <c r="O661" s="2">
        <v>493301</v>
      </c>
      <c r="P661" s="2" t="s">
        <v>50</v>
      </c>
    </row>
    <row r="662" spans="1:16">
      <c r="A662">
        <v>2024</v>
      </c>
      <c r="B662" t="s">
        <v>27</v>
      </c>
      <c r="C662" t="s">
        <v>15</v>
      </c>
      <c r="D662" t="s">
        <v>34</v>
      </c>
      <c r="E662">
        <v>1407</v>
      </c>
      <c r="F662">
        <v>2777</v>
      </c>
      <c r="G662">
        <v>3470</v>
      </c>
      <c r="H662">
        <v>1404</v>
      </c>
      <c r="I662" t="s">
        <v>12</v>
      </c>
      <c r="J662" s="21">
        <f ca="1">DATE(Table2[[#This Row],[Year]],MONTH(1 &amp; Table2[[#This Row],[Month]]),RANDBETWEEN(1,30))</f>
        <v>45470</v>
      </c>
      <c r="L662" s="2">
        <v>2021</v>
      </c>
      <c r="M662" s="2" t="s">
        <v>56</v>
      </c>
      <c r="N662" s="2">
        <v>318278</v>
      </c>
      <c r="O662" s="2">
        <v>427697</v>
      </c>
      <c r="P662" s="2" t="s">
        <v>53</v>
      </c>
    </row>
    <row r="663" spans="1:16">
      <c r="A663">
        <v>2024</v>
      </c>
      <c r="B663" t="s">
        <v>40</v>
      </c>
      <c r="C663" t="s">
        <v>23</v>
      </c>
      <c r="D663" t="s">
        <v>20</v>
      </c>
      <c r="E663">
        <v>349</v>
      </c>
      <c r="F663">
        <v>4371</v>
      </c>
      <c r="G663">
        <v>2670</v>
      </c>
      <c r="H663">
        <v>2310</v>
      </c>
      <c r="I663" t="s">
        <v>12</v>
      </c>
      <c r="J663" s="21">
        <f ca="1">DATE(Table2[[#This Row],[Year]],MONTH(1 &amp; Table2[[#This Row],[Month]]),RANDBETWEEN(1,30))</f>
        <v>45491</v>
      </c>
      <c r="L663" s="2">
        <v>2020</v>
      </c>
      <c r="M663" s="2" t="s">
        <v>51</v>
      </c>
      <c r="N663" s="2">
        <v>181626</v>
      </c>
      <c r="O663" s="2">
        <v>459008</v>
      </c>
      <c r="P663" s="2" t="s">
        <v>49</v>
      </c>
    </row>
    <row r="664" spans="1:16">
      <c r="A664">
        <v>2024</v>
      </c>
      <c r="B664" t="s">
        <v>40</v>
      </c>
      <c r="C664" t="s">
        <v>29</v>
      </c>
      <c r="D664" t="s">
        <v>26</v>
      </c>
      <c r="E664">
        <v>3772</v>
      </c>
      <c r="F664">
        <v>8772</v>
      </c>
      <c r="G664">
        <v>7573</v>
      </c>
      <c r="H664">
        <v>1816</v>
      </c>
      <c r="I664" t="s">
        <v>28</v>
      </c>
      <c r="J664" s="21">
        <f ca="1">DATE(Table2[[#This Row],[Year]],MONTH(1 &amp; Table2[[#This Row],[Month]]),RANDBETWEEN(1,30))</f>
        <v>45479</v>
      </c>
      <c r="L664" s="2">
        <v>2021</v>
      </c>
      <c r="M664" s="2" t="s">
        <v>52</v>
      </c>
      <c r="N664" s="2">
        <v>216764</v>
      </c>
      <c r="O664" s="2">
        <v>203732</v>
      </c>
      <c r="P664" s="2" t="s">
        <v>49</v>
      </c>
    </row>
    <row r="665" spans="1:16">
      <c r="A665">
        <v>2024</v>
      </c>
      <c r="B665" t="s">
        <v>40</v>
      </c>
      <c r="C665" t="s">
        <v>25</v>
      </c>
      <c r="D665" t="s">
        <v>20</v>
      </c>
      <c r="E665">
        <v>1939</v>
      </c>
      <c r="F665">
        <v>9676</v>
      </c>
      <c r="G665">
        <v>8617</v>
      </c>
      <c r="H665">
        <v>2496</v>
      </c>
      <c r="I665" t="s">
        <v>28</v>
      </c>
      <c r="J665" s="21">
        <f ca="1">DATE(Table2[[#This Row],[Year]],MONTH(1 &amp; Table2[[#This Row],[Month]]),RANDBETWEEN(1,30))</f>
        <v>45482</v>
      </c>
      <c r="L665" s="2">
        <v>2023</v>
      </c>
      <c r="M665" s="2" t="s">
        <v>61</v>
      </c>
      <c r="N665" s="2">
        <v>399443</v>
      </c>
      <c r="O665" s="2">
        <v>411343</v>
      </c>
      <c r="P665" s="2" t="s">
        <v>59</v>
      </c>
    </row>
    <row r="666" spans="1:16">
      <c r="A666">
        <v>2024</v>
      </c>
      <c r="B666" t="s">
        <v>40</v>
      </c>
      <c r="C666" t="s">
        <v>29</v>
      </c>
      <c r="D666" t="s">
        <v>20</v>
      </c>
      <c r="E666">
        <v>561</v>
      </c>
      <c r="F666">
        <v>2047</v>
      </c>
      <c r="G666">
        <v>10035</v>
      </c>
      <c r="H666">
        <v>2545</v>
      </c>
      <c r="I666" t="s">
        <v>18</v>
      </c>
      <c r="J666" s="21">
        <f ca="1">DATE(Table2[[#This Row],[Year]],MONTH(1 &amp; Table2[[#This Row],[Month]]),RANDBETWEEN(1,30))</f>
        <v>45487</v>
      </c>
      <c r="L666" s="2">
        <v>2023</v>
      </c>
      <c r="M666" s="2" t="s">
        <v>56</v>
      </c>
      <c r="N666" s="2">
        <v>293040</v>
      </c>
      <c r="O666" s="2">
        <v>559034</v>
      </c>
      <c r="P666" s="2" t="s">
        <v>49</v>
      </c>
    </row>
    <row r="667" spans="1:16">
      <c r="A667">
        <v>2024</v>
      </c>
      <c r="B667" t="s">
        <v>40</v>
      </c>
      <c r="C667" t="s">
        <v>23</v>
      </c>
      <c r="D667" t="s">
        <v>34</v>
      </c>
      <c r="E667">
        <v>751</v>
      </c>
      <c r="F667">
        <v>5037</v>
      </c>
      <c r="G667">
        <v>7651</v>
      </c>
      <c r="H667">
        <v>2972</v>
      </c>
      <c r="I667" t="s">
        <v>18</v>
      </c>
      <c r="J667" s="21">
        <f ca="1">DATE(Table2[[#This Row],[Year]],MONTH(1 &amp; Table2[[#This Row],[Month]]),RANDBETWEEN(1,30))</f>
        <v>45499</v>
      </c>
      <c r="L667" s="2">
        <v>2021</v>
      </c>
      <c r="M667" s="2" t="s">
        <v>57</v>
      </c>
      <c r="N667" s="2">
        <v>186413</v>
      </c>
      <c r="O667" s="2">
        <v>421347</v>
      </c>
      <c r="P667" s="2" t="s">
        <v>59</v>
      </c>
    </row>
    <row r="668" spans="1:16">
      <c r="A668">
        <v>2024</v>
      </c>
      <c r="B668" t="s">
        <v>40</v>
      </c>
      <c r="C668" t="s">
        <v>23</v>
      </c>
      <c r="D668" t="s">
        <v>42</v>
      </c>
      <c r="E668">
        <v>2890</v>
      </c>
      <c r="F668">
        <v>4627</v>
      </c>
      <c r="G668">
        <v>8035</v>
      </c>
      <c r="H668">
        <v>1701</v>
      </c>
      <c r="I668" t="s">
        <v>28</v>
      </c>
      <c r="J668" s="21">
        <f ca="1">DATE(Table2[[#This Row],[Year]],MONTH(1 &amp; Table2[[#This Row],[Month]]),RANDBETWEEN(1,30))</f>
        <v>45474</v>
      </c>
      <c r="L668" s="2">
        <v>2022</v>
      </c>
      <c r="M668" s="2" t="s">
        <v>57</v>
      </c>
      <c r="N668" s="2">
        <v>486908</v>
      </c>
      <c r="O668" s="2">
        <v>566110</v>
      </c>
      <c r="P668" s="2" t="s">
        <v>50</v>
      </c>
    </row>
    <row r="669" spans="1:16">
      <c r="A669">
        <v>2024</v>
      </c>
      <c r="B669" t="s">
        <v>40</v>
      </c>
      <c r="C669" t="s">
        <v>25</v>
      </c>
      <c r="D669" t="s">
        <v>22</v>
      </c>
      <c r="E669">
        <v>535</v>
      </c>
      <c r="F669">
        <v>8916</v>
      </c>
      <c r="G669">
        <v>5844</v>
      </c>
      <c r="H669">
        <v>317</v>
      </c>
      <c r="I669" t="s">
        <v>18</v>
      </c>
      <c r="J669" s="21">
        <f ca="1">DATE(Table2[[#This Row],[Year]],MONTH(1 &amp; Table2[[#This Row],[Month]]),RANDBETWEEN(1,30))</f>
        <v>45487</v>
      </c>
      <c r="L669" s="2">
        <v>2025</v>
      </c>
      <c r="M669" s="2" t="s">
        <v>52</v>
      </c>
      <c r="N669" s="2">
        <v>386050</v>
      </c>
      <c r="O669" s="2">
        <v>316509</v>
      </c>
      <c r="P669" s="2" t="s">
        <v>53</v>
      </c>
    </row>
    <row r="670" spans="1:16">
      <c r="A670">
        <v>2024</v>
      </c>
      <c r="B670" t="s">
        <v>40</v>
      </c>
      <c r="C670" t="s">
        <v>25</v>
      </c>
      <c r="D670" t="s">
        <v>11</v>
      </c>
      <c r="E670">
        <v>3170</v>
      </c>
      <c r="F670">
        <v>6871</v>
      </c>
      <c r="G670">
        <v>4533</v>
      </c>
      <c r="H670">
        <v>695</v>
      </c>
      <c r="I670" t="s">
        <v>18</v>
      </c>
      <c r="J670" s="21">
        <f ca="1">DATE(Table2[[#This Row],[Year]],MONTH(1 &amp; Table2[[#This Row],[Month]]),RANDBETWEEN(1,30))</f>
        <v>45475</v>
      </c>
      <c r="L670" s="2">
        <v>2022</v>
      </c>
      <c r="M670" s="2" t="s">
        <v>60</v>
      </c>
      <c r="N670" s="2">
        <v>482854</v>
      </c>
      <c r="O670" s="2">
        <v>606571</v>
      </c>
      <c r="P670" s="2" t="s">
        <v>53</v>
      </c>
    </row>
    <row r="671" spans="1:16">
      <c r="A671">
        <v>2024</v>
      </c>
      <c r="B671" t="s">
        <v>40</v>
      </c>
      <c r="C671" t="s">
        <v>10</v>
      </c>
      <c r="D671" t="s">
        <v>34</v>
      </c>
      <c r="E671">
        <v>785</v>
      </c>
      <c r="F671">
        <v>9511</v>
      </c>
      <c r="G671">
        <v>6617</v>
      </c>
      <c r="H671">
        <v>2828</v>
      </c>
      <c r="I671" t="s">
        <v>12</v>
      </c>
      <c r="J671" s="21">
        <f ca="1">DATE(Table2[[#This Row],[Year]],MONTH(1 &amp; Table2[[#This Row],[Month]]),RANDBETWEEN(1,30))</f>
        <v>45488</v>
      </c>
      <c r="L671" s="2">
        <v>2021</v>
      </c>
      <c r="M671" s="2" t="s">
        <v>48</v>
      </c>
      <c r="N671" s="2">
        <v>270842</v>
      </c>
      <c r="O671" s="2">
        <v>494216</v>
      </c>
      <c r="P671" s="2" t="s">
        <v>50</v>
      </c>
    </row>
    <row r="672" spans="1:16">
      <c r="A672">
        <v>2024</v>
      </c>
      <c r="B672" t="s">
        <v>40</v>
      </c>
      <c r="C672" t="s">
        <v>15</v>
      </c>
      <c r="D672" t="s">
        <v>23</v>
      </c>
      <c r="E672">
        <v>1042</v>
      </c>
      <c r="F672">
        <v>2440</v>
      </c>
      <c r="G672">
        <v>7484</v>
      </c>
      <c r="H672">
        <v>1062</v>
      </c>
      <c r="I672" t="s">
        <v>18</v>
      </c>
      <c r="J672" s="21">
        <f ca="1">DATE(Table2[[#This Row],[Year]],MONTH(1 &amp; Table2[[#This Row],[Month]]),RANDBETWEEN(1,30))</f>
        <v>45502</v>
      </c>
      <c r="L672" s="2">
        <v>2025</v>
      </c>
      <c r="M672" s="2" t="s">
        <v>57</v>
      </c>
      <c r="N672" s="2">
        <v>290040</v>
      </c>
      <c r="O672" s="2">
        <v>305382</v>
      </c>
      <c r="P672" s="2" t="s">
        <v>53</v>
      </c>
    </row>
    <row r="673" spans="1:16">
      <c r="A673">
        <v>2024</v>
      </c>
      <c r="B673" t="s">
        <v>31</v>
      </c>
      <c r="C673" t="s">
        <v>15</v>
      </c>
      <c r="D673" t="s">
        <v>43</v>
      </c>
      <c r="E673">
        <v>352</v>
      </c>
      <c r="F673">
        <v>8578</v>
      </c>
      <c r="G673">
        <v>9077</v>
      </c>
      <c r="H673">
        <v>1922</v>
      </c>
      <c r="I673" t="s">
        <v>28</v>
      </c>
      <c r="J673" s="21">
        <f ca="1">DATE(Table2[[#This Row],[Year]],MONTH(1 &amp; Table2[[#This Row],[Month]]),RANDBETWEEN(1,30))</f>
        <v>45518</v>
      </c>
      <c r="L673" s="2">
        <v>2023</v>
      </c>
      <c r="M673" s="2" t="s">
        <v>51</v>
      </c>
      <c r="N673" s="2">
        <v>459182</v>
      </c>
      <c r="O673" s="2">
        <v>318360</v>
      </c>
      <c r="P673" s="2" t="s">
        <v>49</v>
      </c>
    </row>
    <row r="674" spans="1:16">
      <c r="A674">
        <v>2024</v>
      </c>
      <c r="B674" t="s">
        <v>31</v>
      </c>
      <c r="C674" t="s">
        <v>23</v>
      </c>
      <c r="D674" t="s">
        <v>38</v>
      </c>
      <c r="E674">
        <v>239</v>
      </c>
      <c r="F674">
        <v>8064</v>
      </c>
      <c r="G674">
        <v>11184</v>
      </c>
      <c r="H674">
        <v>2320</v>
      </c>
      <c r="I674" t="s">
        <v>18</v>
      </c>
      <c r="J674" s="21">
        <f ca="1">DATE(Table2[[#This Row],[Year]],MONTH(1 &amp; Table2[[#This Row],[Month]]),RANDBETWEEN(1,30))</f>
        <v>45511</v>
      </c>
      <c r="L674" s="2">
        <v>2025</v>
      </c>
      <c r="M674" s="2" t="s">
        <v>57</v>
      </c>
      <c r="N674" s="2">
        <v>310020</v>
      </c>
      <c r="O674" s="2">
        <v>514015</v>
      </c>
      <c r="P674" s="2" t="s">
        <v>50</v>
      </c>
    </row>
    <row r="675" spans="1:16">
      <c r="A675">
        <v>2024</v>
      </c>
      <c r="B675" t="s">
        <v>31</v>
      </c>
      <c r="C675" t="s">
        <v>29</v>
      </c>
      <c r="D675" t="s">
        <v>16</v>
      </c>
      <c r="E675">
        <v>3715</v>
      </c>
      <c r="F675">
        <v>1588</v>
      </c>
      <c r="G675">
        <v>5042</v>
      </c>
      <c r="H675">
        <v>341</v>
      </c>
      <c r="I675" t="s">
        <v>28</v>
      </c>
      <c r="J675" s="21">
        <f ca="1">DATE(Table2[[#This Row],[Year]],MONTH(1 &amp; Table2[[#This Row],[Month]]),RANDBETWEEN(1,30))</f>
        <v>45516</v>
      </c>
      <c r="L675" s="2">
        <v>2025</v>
      </c>
      <c r="M675" s="2" t="s">
        <v>52</v>
      </c>
      <c r="N675" s="2">
        <v>382912</v>
      </c>
      <c r="O675" s="2">
        <v>614970</v>
      </c>
      <c r="P675" s="2" t="s">
        <v>59</v>
      </c>
    </row>
    <row r="676" spans="1:16">
      <c r="A676">
        <v>2024</v>
      </c>
      <c r="B676" t="s">
        <v>31</v>
      </c>
      <c r="C676" t="s">
        <v>29</v>
      </c>
      <c r="D676" t="s">
        <v>17</v>
      </c>
      <c r="E676">
        <v>3086</v>
      </c>
      <c r="F676">
        <v>2387</v>
      </c>
      <c r="G676">
        <v>8541</v>
      </c>
      <c r="H676">
        <v>1128</v>
      </c>
      <c r="I676" t="s">
        <v>12</v>
      </c>
      <c r="J676" s="21">
        <f ca="1">DATE(Table2[[#This Row],[Year]],MONTH(1 &amp; Table2[[#This Row],[Month]]),RANDBETWEEN(1,30))</f>
        <v>45519</v>
      </c>
      <c r="L676" s="2">
        <v>2020</v>
      </c>
      <c r="M676" s="2" t="s">
        <v>61</v>
      </c>
      <c r="N676" s="2">
        <v>200869</v>
      </c>
      <c r="O676" s="2">
        <v>407814</v>
      </c>
      <c r="P676" s="2" t="s">
        <v>49</v>
      </c>
    </row>
    <row r="677" spans="1:16">
      <c r="A677">
        <v>2024</v>
      </c>
      <c r="B677" t="s">
        <v>31</v>
      </c>
      <c r="C677" t="s">
        <v>25</v>
      </c>
      <c r="D677" t="s">
        <v>34</v>
      </c>
      <c r="E677">
        <v>1301</v>
      </c>
      <c r="F677">
        <v>5242</v>
      </c>
      <c r="G677">
        <v>8485</v>
      </c>
      <c r="H677">
        <v>232</v>
      </c>
      <c r="I677" t="s">
        <v>12</v>
      </c>
      <c r="J677" s="21">
        <f ca="1">DATE(Table2[[#This Row],[Year]],MONTH(1 &amp; Table2[[#This Row],[Month]]),RANDBETWEEN(1,30))</f>
        <v>45518</v>
      </c>
      <c r="L677" s="2">
        <v>2023</v>
      </c>
      <c r="M677" s="2" t="s">
        <v>60</v>
      </c>
      <c r="N677" s="2">
        <v>278691</v>
      </c>
      <c r="O677" s="2">
        <v>329150</v>
      </c>
      <c r="P677" s="2" t="s">
        <v>50</v>
      </c>
    </row>
    <row r="678" spans="1:16">
      <c r="A678">
        <v>2024</v>
      </c>
      <c r="B678" t="s">
        <v>31</v>
      </c>
      <c r="C678" t="s">
        <v>25</v>
      </c>
      <c r="D678" t="s">
        <v>16</v>
      </c>
      <c r="E678">
        <v>2972</v>
      </c>
      <c r="F678">
        <v>1210</v>
      </c>
      <c r="G678">
        <v>2665</v>
      </c>
      <c r="H678">
        <v>1918</v>
      </c>
      <c r="I678" t="s">
        <v>28</v>
      </c>
      <c r="J678" s="21">
        <f ca="1">DATE(Table2[[#This Row],[Year]],MONTH(1 &amp; Table2[[#This Row],[Month]]),RANDBETWEEN(1,30))</f>
        <v>45528</v>
      </c>
      <c r="L678" s="2">
        <v>2021</v>
      </c>
      <c r="M678" s="2" t="s">
        <v>48</v>
      </c>
      <c r="N678" s="2">
        <v>149380</v>
      </c>
      <c r="O678" s="2">
        <v>633506</v>
      </c>
      <c r="P678" s="2" t="s">
        <v>53</v>
      </c>
    </row>
    <row r="679" spans="1:16">
      <c r="A679">
        <v>2024</v>
      </c>
      <c r="B679" t="s">
        <v>31</v>
      </c>
      <c r="C679" t="s">
        <v>21</v>
      </c>
      <c r="D679" t="s">
        <v>23</v>
      </c>
      <c r="E679">
        <v>1951</v>
      </c>
      <c r="F679">
        <v>1725</v>
      </c>
      <c r="G679">
        <v>11408</v>
      </c>
      <c r="H679">
        <v>492</v>
      </c>
      <c r="I679" t="s">
        <v>28</v>
      </c>
      <c r="J679" s="21">
        <f ca="1">DATE(Table2[[#This Row],[Year]],MONTH(1 &amp; Table2[[#This Row],[Month]]),RANDBETWEEN(1,30))</f>
        <v>45533</v>
      </c>
      <c r="L679" s="2">
        <v>2020</v>
      </c>
      <c r="M679" s="2" t="s">
        <v>58</v>
      </c>
      <c r="N679" s="2">
        <v>182392</v>
      </c>
      <c r="O679" s="2">
        <v>534634</v>
      </c>
      <c r="P679" s="2" t="s">
        <v>50</v>
      </c>
    </row>
    <row r="680" spans="1:16">
      <c r="A680">
        <v>2024</v>
      </c>
      <c r="B680" t="s">
        <v>31</v>
      </c>
      <c r="C680" t="s">
        <v>23</v>
      </c>
      <c r="D680" t="s">
        <v>26</v>
      </c>
      <c r="E680">
        <v>3018</v>
      </c>
      <c r="F680">
        <v>5818</v>
      </c>
      <c r="G680">
        <v>4089</v>
      </c>
      <c r="H680">
        <v>2451</v>
      </c>
      <c r="I680" t="s">
        <v>12</v>
      </c>
      <c r="J680" s="21">
        <f ca="1">DATE(Table2[[#This Row],[Year]],MONTH(1 &amp; Table2[[#This Row],[Month]]),RANDBETWEEN(1,30))</f>
        <v>45528</v>
      </c>
      <c r="L680" s="2">
        <v>2021</v>
      </c>
      <c r="M680" s="2" t="s">
        <v>58</v>
      </c>
      <c r="N680" s="2">
        <v>100377</v>
      </c>
      <c r="O680" s="2">
        <v>424043</v>
      </c>
      <c r="P680" s="2" t="s">
        <v>59</v>
      </c>
    </row>
    <row r="681" spans="1:16">
      <c r="A681">
        <v>2024</v>
      </c>
      <c r="B681" t="s">
        <v>31</v>
      </c>
      <c r="C681" t="s">
        <v>21</v>
      </c>
      <c r="D681" t="s">
        <v>26</v>
      </c>
      <c r="E681">
        <v>1897</v>
      </c>
      <c r="F681">
        <v>5711</v>
      </c>
      <c r="G681">
        <v>4966</v>
      </c>
      <c r="H681">
        <v>1532</v>
      </c>
      <c r="I681" t="s">
        <v>28</v>
      </c>
      <c r="J681" s="21">
        <f ca="1">DATE(Table2[[#This Row],[Year]],MONTH(1 &amp; Table2[[#This Row],[Month]]),RANDBETWEEN(1,30))</f>
        <v>45530</v>
      </c>
      <c r="L681" s="2">
        <v>2020</v>
      </c>
      <c r="M681" s="2" t="s">
        <v>55</v>
      </c>
      <c r="N681" s="2">
        <v>115706</v>
      </c>
      <c r="O681" s="2">
        <v>443950</v>
      </c>
      <c r="P681" s="2" t="s">
        <v>53</v>
      </c>
    </row>
    <row r="682" spans="1:16">
      <c r="A682">
        <v>2024</v>
      </c>
      <c r="B682" t="s">
        <v>31</v>
      </c>
      <c r="C682" t="s">
        <v>25</v>
      </c>
      <c r="D682" t="s">
        <v>23</v>
      </c>
      <c r="E682">
        <v>2605</v>
      </c>
      <c r="F682">
        <v>3022</v>
      </c>
      <c r="G682">
        <v>2756</v>
      </c>
      <c r="H682">
        <v>781</v>
      </c>
      <c r="I682" t="s">
        <v>28</v>
      </c>
      <c r="J682" s="21">
        <f ca="1">DATE(Table2[[#This Row],[Year]],MONTH(1 &amp; Table2[[#This Row],[Month]]),RANDBETWEEN(1,30))</f>
        <v>45505</v>
      </c>
      <c r="L682" s="2">
        <v>2022</v>
      </c>
      <c r="M682" s="2" t="s">
        <v>52</v>
      </c>
      <c r="N682" s="2">
        <v>490914</v>
      </c>
      <c r="O682" s="2">
        <v>302128</v>
      </c>
      <c r="P682" s="2" t="s">
        <v>50</v>
      </c>
    </row>
    <row r="683" spans="1:16">
      <c r="A683">
        <v>2024</v>
      </c>
      <c r="B683" t="s">
        <v>31</v>
      </c>
      <c r="C683" t="s">
        <v>15</v>
      </c>
      <c r="D683" t="s">
        <v>20</v>
      </c>
      <c r="E683">
        <v>2686</v>
      </c>
      <c r="F683">
        <v>3328</v>
      </c>
      <c r="G683">
        <v>7621</v>
      </c>
      <c r="H683">
        <v>2092</v>
      </c>
      <c r="I683" t="s">
        <v>28</v>
      </c>
      <c r="J683" s="21">
        <f ca="1">DATE(Table2[[#This Row],[Year]],MONTH(1 &amp; Table2[[#This Row],[Month]]),RANDBETWEEN(1,30))</f>
        <v>45533</v>
      </c>
      <c r="L683" s="2">
        <v>2022</v>
      </c>
      <c r="M683" s="2" t="s">
        <v>60</v>
      </c>
      <c r="N683" s="2">
        <v>196941</v>
      </c>
      <c r="O683" s="2">
        <v>513401</v>
      </c>
      <c r="P683" s="2" t="s">
        <v>50</v>
      </c>
    </row>
    <row r="684" spans="1:16">
      <c r="A684">
        <v>2024</v>
      </c>
      <c r="B684" t="s">
        <v>31</v>
      </c>
      <c r="C684" t="s">
        <v>25</v>
      </c>
      <c r="D684" t="s">
        <v>22</v>
      </c>
      <c r="E684">
        <v>3415</v>
      </c>
      <c r="F684">
        <v>3368</v>
      </c>
      <c r="G684">
        <v>10082</v>
      </c>
      <c r="H684">
        <v>2097</v>
      </c>
      <c r="I684" t="s">
        <v>18</v>
      </c>
      <c r="J684" s="21">
        <f ca="1">DATE(Table2[[#This Row],[Year]],MONTH(1 &amp; Table2[[#This Row],[Month]]),RANDBETWEEN(1,30))</f>
        <v>45517</v>
      </c>
      <c r="L684" s="2">
        <v>2020</v>
      </c>
      <c r="M684" s="2" t="s">
        <v>60</v>
      </c>
      <c r="N684" s="2">
        <v>365324</v>
      </c>
      <c r="O684" s="2">
        <v>379371</v>
      </c>
      <c r="P684" s="2" t="s">
        <v>53</v>
      </c>
    </row>
    <row r="685" spans="1:16">
      <c r="A685">
        <v>2024</v>
      </c>
      <c r="B685" t="s">
        <v>31</v>
      </c>
      <c r="C685" t="s">
        <v>10</v>
      </c>
      <c r="D685" t="s">
        <v>17</v>
      </c>
      <c r="E685">
        <v>1284</v>
      </c>
      <c r="F685">
        <v>9305</v>
      </c>
      <c r="G685">
        <v>2718</v>
      </c>
      <c r="H685">
        <v>1194</v>
      </c>
      <c r="I685" t="s">
        <v>12</v>
      </c>
      <c r="J685" s="21">
        <f ca="1">DATE(Table2[[#This Row],[Year]],MONTH(1 &amp; Table2[[#This Row],[Month]]),RANDBETWEEN(1,30))</f>
        <v>45522</v>
      </c>
      <c r="L685" s="2">
        <v>2024</v>
      </c>
      <c r="M685" s="2" t="s">
        <v>56</v>
      </c>
      <c r="N685" s="2">
        <v>435640</v>
      </c>
      <c r="O685" s="2">
        <v>697823</v>
      </c>
      <c r="P685" s="2" t="s">
        <v>50</v>
      </c>
    </row>
    <row r="686" spans="1:16">
      <c r="A686">
        <v>2024</v>
      </c>
      <c r="B686" t="s">
        <v>31</v>
      </c>
      <c r="C686" t="s">
        <v>15</v>
      </c>
      <c r="D686" t="s">
        <v>20</v>
      </c>
      <c r="E686">
        <v>2092</v>
      </c>
      <c r="F686">
        <v>5347</v>
      </c>
      <c r="G686">
        <v>2712</v>
      </c>
      <c r="H686">
        <v>2514</v>
      </c>
      <c r="I686" t="s">
        <v>18</v>
      </c>
      <c r="J686" s="21">
        <f ca="1">DATE(Table2[[#This Row],[Year]],MONTH(1 &amp; Table2[[#This Row],[Month]]),RANDBETWEEN(1,30))</f>
        <v>45509</v>
      </c>
      <c r="L686" s="2">
        <v>2022</v>
      </c>
      <c r="M686" s="2" t="s">
        <v>51</v>
      </c>
      <c r="N686" s="2">
        <v>320264</v>
      </c>
      <c r="O686" s="2">
        <v>440092</v>
      </c>
      <c r="P686" s="2" t="s">
        <v>49</v>
      </c>
    </row>
    <row r="687" spans="1:16">
      <c r="A687">
        <v>2024</v>
      </c>
      <c r="B687" t="s">
        <v>31</v>
      </c>
      <c r="C687" t="s">
        <v>23</v>
      </c>
      <c r="D687" t="s">
        <v>34</v>
      </c>
      <c r="E687">
        <v>1989</v>
      </c>
      <c r="F687">
        <v>2149</v>
      </c>
      <c r="G687">
        <v>2776</v>
      </c>
      <c r="H687">
        <v>2452</v>
      </c>
      <c r="I687" t="s">
        <v>28</v>
      </c>
      <c r="J687" s="21">
        <f ca="1">DATE(Table2[[#This Row],[Year]],MONTH(1 &amp; Table2[[#This Row],[Month]]),RANDBETWEEN(1,30))</f>
        <v>45527</v>
      </c>
      <c r="L687" s="2">
        <v>2020</v>
      </c>
      <c r="M687" s="2" t="s">
        <v>60</v>
      </c>
      <c r="N687" s="2">
        <v>161258</v>
      </c>
      <c r="O687" s="2">
        <v>442943</v>
      </c>
      <c r="P687" s="2" t="s">
        <v>49</v>
      </c>
    </row>
    <row r="688" spans="1:16">
      <c r="A688">
        <v>2024</v>
      </c>
      <c r="B688" t="s">
        <v>13</v>
      </c>
      <c r="C688" t="s">
        <v>29</v>
      </c>
      <c r="D688" t="s">
        <v>42</v>
      </c>
      <c r="E688">
        <v>1061</v>
      </c>
      <c r="F688">
        <v>6148</v>
      </c>
      <c r="G688">
        <v>7031</v>
      </c>
      <c r="H688">
        <v>1394</v>
      </c>
      <c r="I688" t="s">
        <v>18</v>
      </c>
      <c r="J688" s="21">
        <f ca="1">DATE(Table2[[#This Row],[Year]],MONTH(1 &amp; Table2[[#This Row],[Month]]),RANDBETWEEN(1,30))</f>
        <v>45564</v>
      </c>
      <c r="L688" s="2">
        <v>2022</v>
      </c>
      <c r="M688" s="2" t="s">
        <v>55</v>
      </c>
      <c r="N688" s="2">
        <v>391247</v>
      </c>
      <c r="O688" s="2">
        <v>482926</v>
      </c>
      <c r="P688" s="2" t="s">
        <v>59</v>
      </c>
    </row>
    <row r="689" spans="1:16">
      <c r="A689">
        <v>2024</v>
      </c>
      <c r="B689" t="s">
        <v>13</v>
      </c>
      <c r="C689" t="s">
        <v>25</v>
      </c>
      <c r="D689" t="s">
        <v>22</v>
      </c>
      <c r="E689">
        <v>2202</v>
      </c>
      <c r="F689">
        <v>7890</v>
      </c>
      <c r="G689">
        <v>5322</v>
      </c>
      <c r="H689">
        <v>801</v>
      </c>
      <c r="I689" t="s">
        <v>12</v>
      </c>
      <c r="J689" s="21">
        <f ca="1">DATE(Table2[[#This Row],[Year]],MONTH(1 &amp; Table2[[#This Row],[Month]]),RANDBETWEEN(1,30))</f>
        <v>45556</v>
      </c>
      <c r="L689" s="2">
        <v>2020</v>
      </c>
      <c r="M689" s="2" t="s">
        <v>48</v>
      </c>
      <c r="N689" s="2">
        <v>340101</v>
      </c>
      <c r="O689" s="2">
        <v>658378</v>
      </c>
      <c r="P689" s="2" t="s">
        <v>49</v>
      </c>
    </row>
    <row r="690" spans="1:16">
      <c r="A690">
        <v>2024</v>
      </c>
      <c r="B690" t="s">
        <v>13</v>
      </c>
      <c r="C690" t="s">
        <v>15</v>
      </c>
      <c r="D690" t="s">
        <v>23</v>
      </c>
      <c r="E690">
        <v>191</v>
      </c>
      <c r="F690">
        <v>6224</v>
      </c>
      <c r="G690">
        <v>3879</v>
      </c>
      <c r="H690">
        <v>653</v>
      </c>
      <c r="I690" t="s">
        <v>28</v>
      </c>
      <c r="J690" s="21">
        <f ca="1">DATE(Table2[[#This Row],[Year]],MONTH(1 &amp; Table2[[#This Row],[Month]]),RANDBETWEEN(1,30))</f>
        <v>45542</v>
      </c>
      <c r="L690" s="2">
        <v>2020</v>
      </c>
      <c r="M690" s="2" t="s">
        <v>56</v>
      </c>
      <c r="N690" s="2">
        <v>392500</v>
      </c>
      <c r="O690" s="2">
        <v>600409</v>
      </c>
      <c r="P690" s="2" t="s">
        <v>53</v>
      </c>
    </row>
    <row r="691" spans="1:16">
      <c r="A691">
        <v>2024</v>
      </c>
      <c r="B691" t="s">
        <v>13</v>
      </c>
      <c r="C691" t="s">
        <v>25</v>
      </c>
      <c r="D691" t="s">
        <v>17</v>
      </c>
      <c r="E691">
        <v>230</v>
      </c>
      <c r="F691">
        <v>5391</v>
      </c>
      <c r="G691">
        <v>10503</v>
      </c>
      <c r="H691">
        <v>1566</v>
      </c>
      <c r="I691" t="s">
        <v>12</v>
      </c>
      <c r="J691" s="21">
        <f ca="1">DATE(Table2[[#This Row],[Year]],MONTH(1 &amp; Table2[[#This Row],[Month]]),RANDBETWEEN(1,30))</f>
        <v>45549</v>
      </c>
      <c r="L691" s="2">
        <v>2024</v>
      </c>
      <c r="M691" s="2" t="s">
        <v>56</v>
      </c>
      <c r="N691" s="2">
        <v>407899</v>
      </c>
      <c r="O691" s="2">
        <v>425565</v>
      </c>
      <c r="P691" s="2" t="s">
        <v>50</v>
      </c>
    </row>
    <row r="692" spans="1:16">
      <c r="A692">
        <v>2024</v>
      </c>
      <c r="B692" t="s">
        <v>13</v>
      </c>
      <c r="C692" t="s">
        <v>15</v>
      </c>
      <c r="D692" t="s">
        <v>23</v>
      </c>
      <c r="E692">
        <v>3501</v>
      </c>
      <c r="F692">
        <v>5133</v>
      </c>
      <c r="G692">
        <v>11785</v>
      </c>
      <c r="H692">
        <v>915</v>
      </c>
      <c r="I692" t="s">
        <v>18</v>
      </c>
      <c r="J692" s="21">
        <f ca="1">DATE(Table2[[#This Row],[Year]],MONTH(1 &amp; Table2[[#This Row],[Month]]),RANDBETWEEN(1,30))</f>
        <v>45553</v>
      </c>
      <c r="L692" s="2">
        <v>2021</v>
      </c>
      <c r="M692" s="2" t="s">
        <v>48</v>
      </c>
      <c r="N692" s="2">
        <v>490164</v>
      </c>
      <c r="O692" s="2">
        <v>559350</v>
      </c>
      <c r="P692" s="2" t="s">
        <v>50</v>
      </c>
    </row>
    <row r="693" spans="1:16">
      <c r="A693">
        <v>2024</v>
      </c>
      <c r="B693" t="s">
        <v>13</v>
      </c>
      <c r="C693" t="s">
        <v>23</v>
      </c>
      <c r="D693" t="s">
        <v>34</v>
      </c>
      <c r="E693">
        <v>1289</v>
      </c>
      <c r="F693">
        <v>5480</v>
      </c>
      <c r="G693">
        <v>11670</v>
      </c>
      <c r="H693">
        <v>2816</v>
      </c>
      <c r="I693" t="s">
        <v>12</v>
      </c>
      <c r="J693" s="21">
        <f ca="1">DATE(Table2[[#This Row],[Year]],MONTH(1 &amp; Table2[[#This Row],[Month]]),RANDBETWEEN(1,30))</f>
        <v>45560</v>
      </c>
      <c r="L693" s="2">
        <v>2021</v>
      </c>
      <c r="M693" s="2" t="s">
        <v>51</v>
      </c>
      <c r="N693" s="2">
        <v>329425</v>
      </c>
      <c r="O693" s="2">
        <v>493118</v>
      </c>
      <c r="P693" s="2" t="s">
        <v>59</v>
      </c>
    </row>
    <row r="694" spans="1:16">
      <c r="A694">
        <v>2024</v>
      </c>
      <c r="B694" t="s">
        <v>13</v>
      </c>
      <c r="C694" t="s">
        <v>15</v>
      </c>
      <c r="D694" t="s">
        <v>11</v>
      </c>
      <c r="E694">
        <v>1085</v>
      </c>
      <c r="F694">
        <v>3870</v>
      </c>
      <c r="G694">
        <v>6663</v>
      </c>
      <c r="H694">
        <v>573</v>
      </c>
      <c r="I694" t="s">
        <v>18</v>
      </c>
      <c r="J694" s="21">
        <f ca="1">DATE(Table2[[#This Row],[Year]],MONTH(1 &amp; Table2[[#This Row],[Month]]),RANDBETWEEN(1,30))</f>
        <v>45545</v>
      </c>
      <c r="L694" s="2">
        <v>2023</v>
      </c>
      <c r="M694" s="2" t="s">
        <v>58</v>
      </c>
      <c r="N694" s="2">
        <v>236656</v>
      </c>
      <c r="O694" s="2">
        <v>446184</v>
      </c>
      <c r="P694" s="2" t="s">
        <v>50</v>
      </c>
    </row>
    <row r="695" spans="1:16">
      <c r="A695">
        <v>2024</v>
      </c>
      <c r="B695" t="s">
        <v>13</v>
      </c>
      <c r="C695" t="s">
        <v>21</v>
      </c>
      <c r="D695" t="s">
        <v>11</v>
      </c>
      <c r="E695">
        <v>3282</v>
      </c>
      <c r="F695">
        <v>9716</v>
      </c>
      <c r="G695">
        <v>4282</v>
      </c>
      <c r="H695">
        <v>2638</v>
      </c>
      <c r="I695" t="s">
        <v>12</v>
      </c>
      <c r="J695" s="21">
        <f ca="1">DATE(Table2[[#This Row],[Year]],MONTH(1 &amp; Table2[[#This Row],[Month]]),RANDBETWEEN(1,30))</f>
        <v>45550</v>
      </c>
      <c r="L695" s="2">
        <v>2024</v>
      </c>
      <c r="M695" s="2" t="s">
        <v>55</v>
      </c>
      <c r="N695" s="2">
        <v>359386</v>
      </c>
      <c r="O695" s="2">
        <v>296158</v>
      </c>
      <c r="P695" s="2" t="s">
        <v>50</v>
      </c>
    </row>
    <row r="696" spans="1:16">
      <c r="A696">
        <v>2024</v>
      </c>
      <c r="B696" t="s">
        <v>13</v>
      </c>
      <c r="C696" t="s">
        <v>21</v>
      </c>
      <c r="D696" t="s">
        <v>42</v>
      </c>
      <c r="E696">
        <v>3131</v>
      </c>
      <c r="F696">
        <v>6711</v>
      </c>
      <c r="G696">
        <v>5098</v>
      </c>
      <c r="H696">
        <v>2532</v>
      </c>
      <c r="I696" t="s">
        <v>12</v>
      </c>
      <c r="J696" s="21">
        <f ca="1">DATE(Table2[[#This Row],[Year]],MONTH(1 &amp; Table2[[#This Row],[Month]]),RANDBETWEEN(1,30))</f>
        <v>45552</v>
      </c>
      <c r="L696" s="2">
        <v>2022</v>
      </c>
      <c r="M696" s="2" t="s">
        <v>55</v>
      </c>
      <c r="N696" s="2">
        <v>127376</v>
      </c>
      <c r="O696" s="2">
        <v>431968</v>
      </c>
      <c r="P696" s="2" t="s">
        <v>49</v>
      </c>
    </row>
    <row r="697" spans="1:16">
      <c r="A697">
        <v>2024</v>
      </c>
      <c r="B697" t="s">
        <v>13</v>
      </c>
      <c r="C697" t="s">
        <v>29</v>
      </c>
      <c r="D697" t="s">
        <v>34</v>
      </c>
      <c r="E697">
        <v>172</v>
      </c>
      <c r="F697">
        <v>7988</v>
      </c>
      <c r="G697">
        <v>3473</v>
      </c>
      <c r="H697">
        <v>1628</v>
      </c>
      <c r="I697" t="s">
        <v>18</v>
      </c>
      <c r="J697" s="21">
        <f ca="1">DATE(Table2[[#This Row],[Year]],MONTH(1 &amp; Table2[[#This Row],[Month]]),RANDBETWEEN(1,30))</f>
        <v>45555</v>
      </c>
      <c r="L697" s="2">
        <v>2024</v>
      </c>
      <c r="M697" s="2" t="s">
        <v>48</v>
      </c>
      <c r="N697" s="2">
        <v>458959</v>
      </c>
      <c r="O697" s="2">
        <v>322909</v>
      </c>
      <c r="P697" s="2" t="s">
        <v>59</v>
      </c>
    </row>
    <row r="698" spans="1:16">
      <c r="A698">
        <v>2024</v>
      </c>
      <c r="B698" t="s">
        <v>13</v>
      </c>
      <c r="C698" t="s">
        <v>15</v>
      </c>
      <c r="D698" t="s">
        <v>42</v>
      </c>
      <c r="E698">
        <v>535</v>
      </c>
      <c r="F698">
        <v>8148</v>
      </c>
      <c r="G698">
        <v>5217</v>
      </c>
      <c r="H698">
        <v>1243</v>
      </c>
      <c r="I698" t="s">
        <v>12</v>
      </c>
      <c r="J698" s="21">
        <f ca="1">DATE(Table2[[#This Row],[Year]],MONTH(1 &amp; Table2[[#This Row],[Month]]),RANDBETWEEN(1,30))</f>
        <v>45550</v>
      </c>
      <c r="L698" s="2">
        <v>2021</v>
      </c>
      <c r="M698" s="2" t="s">
        <v>48</v>
      </c>
      <c r="N698" s="2">
        <v>147752</v>
      </c>
      <c r="O698" s="2">
        <v>657421</v>
      </c>
      <c r="P698" s="2" t="s">
        <v>50</v>
      </c>
    </row>
    <row r="699" spans="1:16">
      <c r="A699">
        <v>2024</v>
      </c>
      <c r="B699" t="s">
        <v>13</v>
      </c>
      <c r="C699" t="s">
        <v>21</v>
      </c>
      <c r="D699" t="s">
        <v>23</v>
      </c>
      <c r="E699">
        <v>1010</v>
      </c>
      <c r="F699">
        <v>9158</v>
      </c>
      <c r="G699">
        <v>9293</v>
      </c>
      <c r="H699">
        <v>834</v>
      </c>
      <c r="I699" t="s">
        <v>28</v>
      </c>
      <c r="J699" s="21">
        <f ca="1">DATE(Table2[[#This Row],[Year]],MONTH(1 &amp; Table2[[#This Row],[Month]]),RANDBETWEEN(1,30))</f>
        <v>45563</v>
      </c>
      <c r="L699" s="2">
        <v>2025</v>
      </c>
      <c r="M699" s="2" t="s">
        <v>60</v>
      </c>
      <c r="N699" s="2">
        <v>231137</v>
      </c>
      <c r="O699" s="2">
        <v>367703</v>
      </c>
      <c r="P699" s="2" t="s">
        <v>50</v>
      </c>
    </row>
    <row r="700" spans="1:16">
      <c r="A700">
        <v>2024</v>
      </c>
      <c r="B700" t="s">
        <v>13</v>
      </c>
      <c r="C700" t="s">
        <v>21</v>
      </c>
      <c r="D700" t="s">
        <v>16</v>
      </c>
      <c r="E700">
        <v>210</v>
      </c>
      <c r="F700">
        <v>8868</v>
      </c>
      <c r="G700">
        <v>8736</v>
      </c>
      <c r="H700">
        <v>1601</v>
      </c>
      <c r="I700" t="s">
        <v>18</v>
      </c>
      <c r="J700" s="21">
        <f ca="1">DATE(Table2[[#This Row],[Year]],MONTH(1 &amp; Table2[[#This Row],[Month]]),RANDBETWEEN(1,30))</f>
        <v>45538</v>
      </c>
      <c r="L700" s="2">
        <v>2023</v>
      </c>
      <c r="M700" s="2" t="s">
        <v>54</v>
      </c>
      <c r="N700" s="2">
        <v>426298</v>
      </c>
      <c r="O700" s="2">
        <v>676132</v>
      </c>
      <c r="P700" s="2" t="s">
        <v>53</v>
      </c>
    </row>
    <row r="701" spans="1:16">
      <c r="A701">
        <v>2024</v>
      </c>
      <c r="B701" t="s">
        <v>24</v>
      </c>
      <c r="C701" t="s">
        <v>10</v>
      </c>
      <c r="D701" t="s">
        <v>20</v>
      </c>
      <c r="E701">
        <v>892</v>
      </c>
      <c r="F701">
        <v>6870</v>
      </c>
      <c r="G701">
        <v>3605</v>
      </c>
      <c r="H701">
        <v>1889</v>
      </c>
      <c r="I701" t="s">
        <v>18</v>
      </c>
      <c r="J701" s="21">
        <f ca="1">DATE(Table2[[#This Row],[Year]],MONTH(1 &amp; Table2[[#This Row],[Month]]),RANDBETWEEN(1,30))</f>
        <v>45583</v>
      </c>
      <c r="L701" s="2">
        <v>2021</v>
      </c>
      <c r="M701" s="2" t="s">
        <v>55</v>
      </c>
      <c r="N701" s="2">
        <v>338925</v>
      </c>
      <c r="O701" s="2">
        <v>466528</v>
      </c>
      <c r="P701" s="2" t="s">
        <v>53</v>
      </c>
    </row>
    <row r="702" spans="1:16">
      <c r="A702">
        <v>2024</v>
      </c>
      <c r="B702" t="s">
        <v>24</v>
      </c>
      <c r="C702" t="s">
        <v>23</v>
      </c>
      <c r="D702" t="s">
        <v>43</v>
      </c>
      <c r="E702">
        <v>825</v>
      </c>
      <c r="F702">
        <v>7972</v>
      </c>
      <c r="G702">
        <v>10072</v>
      </c>
      <c r="H702">
        <v>712</v>
      </c>
      <c r="I702" t="s">
        <v>12</v>
      </c>
      <c r="J702" s="21">
        <f ca="1">DATE(Table2[[#This Row],[Year]],MONTH(1 &amp; Table2[[#This Row],[Month]]),RANDBETWEEN(1,30))</f>
        <v>45587</v>
      </c>
      <c r="L702" s="2">
        <v>2025</v>
      </c>
      <c r="M702" s="2" t="s">
        <v>54</v>
      </c>
      <c r="N702" s="2">
        <v>257454</v>
      </c>
      <c r="O702" s="2">
        <v>515772</v>
      </c>
      <c r="P702" s="2" t="s">
        <v>49</v>
      </c>
    </row>
    <row r="703" spans="1:16">
      <c r="A703">
        <v>2024</v>
      </c>
      <c r="B703" t="s">
        <v>24</v>
      </c>
      <c r="C703" t="s">
        <v>25</v>
      </c>
      <c r="D703" t="s">
        <v>11</v>
      </c>
      <c r="E703">
        <v>1622</v>
      </c>
      <c r="F703">
        <v>8027</v>
      </c>
      <c r="G703">
        <v>4468</v>
      </c>
      <c r="H703">
        <v>2931</v>
      </c>
      <c r="I703" t="s">
        <v>28</v>
      </c>
      <c r="J703" s="21">
        <f ca="1">DATE(Table2[[#This Row],[Year]],MONTH(1 &amp; Table2[[#This Row],[Month]]),RANDBETWEEN(1,30))</f>
        <v>45580</v>
      </c>
      <c r="L703" s="2">
        <v>2025</v>
      </c>
      <c r="M703" s="2" t="s">
        <v>55</v>
      </c>
      <c r="N703" s="2">
        <v>289374</v>
      </c>
      <c r="O703" s="2">
        <v>471470</v>
      </c>
      <c r="P703" s="2" t="s">
        <v>49</v>
      </c>
    </row>
    <row r="704" spans="1:16">
      <c r="A704">
        <v>2024</v>
      </c>
      <c r="B704" t="s">
        <v>24</v>
      </c>
      <c r="C704" t="s">
        <v>23</v>
      </c>
      <c r="D704" t="s">
        <v>16</v>
      </c>
      <c r="E704">
        <v>1516</v>
      </c>
      <c r="F704">
        <v>3432</v>
      </c>
      <c r="G704">
        <v>4149</v>
      </c>
      <c r="H704">
        <v>1258</v>
      </c>
      <c r="I704" t="s">
        <v>28</v>
      </c>
      <c r="J704" s="21">
        <f ca="1">DATE(Table2[[#This Row],[Year]],MONTH(1 &amp; Table2[[#This Row],[Month]]),RANDBETWEEN(1,30))</f>
        <v>45575</v>
      </c>
      <c r="L704" s="2">
        <v>2022</v>
      </c>
      <c r="M704" s="2" t="s">
        <v>60</v>
      </c>
      <c r="N704" s="2">
        <v>441819</v>
      </c>
      <c r="O704" s="2">
        <v>264690</v>
      </c>
      <c r="P704" s="2" t="s">
        <v>50</v>
      </c>
    </row>
    <row r="705" spans="1:16">
      <c r="A705">
        <v>2024</v>
      </c>
      <c r="B705" t="s">
        <v>24</v>
      </c>
      <c r="C705" t="s">
        <v>10</v>
      </c>
      <c r="D705" t="s">
        <v>26</v>
      </c>
      <c r="E705">
        <v>3788</v>
      </c>
      <c r="F705">
        <v>7534</v>
      </c>
      <c r="G705">
        <v>8796</v>
      </c>
      <c r="H705">
        <v>1457</v>
      </c>
      <c r="I705" t="s">
        <v>12</v>
      </c>
      <c r="J705" s="21">
        <f ca="1">DATE(Table2[[#This Row],[Year]],MONTH(1 &amp; Table2[[#This Row],[Month]]),RANDBETWEEN(1,30))</f>
        <v>45592</v>
      </c>
      <c r="L705" s="2">
        <v>2024</v>
      </c>
      <c r="M705" s="2" t="s">
        <v>61</v>
      </c>
      <c r="N705" s="2">
        <v>236002</v>
      </c>
      <c r="O705" s="2">
        <v>387911</v>
      </c>
      <c r="P705" s="2" t="s">
        <v>50</v>
      </c>
    </row>
    <row r="706" spans="1:16">
      <c r="A706">
        <v>2024</v>
      </c>
      <c r="B706" t="s">
        <v>24</v>
      </c>
      <c r="C706" t="s">
        <v>10</v>
      </c>
      <c r="D706" t="s">
        <v>39</v>
      </c>
      <c r="E706">
        <v>3690</v>
      </c>
      <c r="F706">
        <v>9099</v>
      </c>
      <c r="G706">
        <v>10484</v>
      </c>
      <c r="H706">
        <v>2506</v>
      </c>
      <c r="I706" t="s">
        <v>28</v>
      </c>
      <c r="J706" s="21">
        <f ca="1">DATE(Table2[[#This Row],[Year]],MONTH(1 &amp; Table2[[#This Row],[Month]]),RANDBETWEEN(1,30))</f>
        <v>45577</v>
      </c>
      <c r="L706" s="2">
        <v>2022</v>
      </c>
      <c r="M706" s="2" t="s">
        <v>55</v>
      </c>
      <c r="N706" s="2">
        <v>447860</v>
      </c>
      <c r="O706" s="2">
        <v>249573</v>
      </c>
      <c r="P706" s="2" t="s">
        <v>59</v>
      </c>
    </row>
    <row r="707" spans="1:16">
      <c r="A707">
        <v>2024</v>
      </c>
      <c r="B707" t="s">
        <v>24</v>
      </c>
      <c r="C707" t="s">
        <v>23</v>
      </c>
      <c r="D707" t="s">
        <v>22</v>
      </c>
      <c r="E707">
        <v>1092</v>
      </c>
      <c r="F707">
        <v>4769</v>
      </c>
      <c r="G707">
        <v>5709</v>
      </c>
      <c r="H707">
        <v>785</v>
      </c>
      <c r="I707" t="s">
        <v>12</v>
      </c>
      <c r="J707" s="21">
        <f ca="1">DATE(Table2[[#This Row],[Year]],MONTH(1 &amp; Table2[[#This Row],[Month]]),RANDBETWEEN(1,30))</f>
        <v>45581</v>
      </c>
      <c r="L707" s="2">
        <v>2022</v>
      </c>
      <c r="M707" s="2" t="s">
        <v>60</v>
      </c>
      <c r="N707" s="2">
        <v>135254</v>
      </c>
      <c r="O707" s="2">
        <v>511477</v>
      </c>
      <c r="P707" s="2" t="s">
        <v>49</v>
      </c>
    </row>
    <row r="708" spans="1:16">
      <c r="A708">
        <v>2024</v>
      </c>
      <c r="B708" t="s">
        <v>24</v>
      </c>
      <c r="C708" t="s">
        <v>10</v>
      </c>
      <c r="D708" t="s">
        <v>20</v>
      </c>
      <c r="E708">
        <v>619</v>
      </c>
      <c r="F708">
        <v>6860</v>
      </c>
      <c r="G708">
        <v>4973</v>
      </c>
      <c r="H708">
        <v>1807</v>
      </c>
      <c r="I708" t="s">
        <v>28</v>
      </c>
      <c r="J708" s="21">
        <f ca="1">DATE(Table2[[#This Row],[Year]],MONTH(1 &amp; Table2[[#This Row],[Month]]),RANDBETWEEN(1,30))</f>
        <v>45566</v>
      </c>
      <c r="L708" s="2">
        <v>2020</v>
      </c>
      <c r="M708" s="2" t="s">
        <v>48</v>
      </c>
      <c r="N708" s="2">
        <v>410719</v>
      </c>
      <c r="O708" s="2">
        <v>423437</v>
      </c>
      <c r="P708" s="2" t="s">
        <v>50</v>
      </c>
    </row>
    <row r="709" spans="1:16">
      <c r="A709">
        <v>2024</v>
      </c>
      <c r="B709" t="s">
        <v>24</v>
      </c>
      <c r="C709" t="s">
        <v>10</v>
      </c>
      <c r="D709" t="s">
        <v>42</v>
      </c>
      <c r="E709">
        <v>109</v>
      </c>
      <c r="F709">
        <v>5601</v>
      </c>
      <c r="G709">
        <v>11010</v>
      </c>
      <c r="H709">
        <v>1310</v>
      </c>
      <c r="I709" t="s">
        <v>12</v>
      </c>
      <c r="J709" s="21">
        <f ca="1">DATE(Table2[[#This Row],[Year]],MONTH(1 &amp; Table2[[#This Row],[Month]]),RANDBETWEEN(1,30))</f>
        <v>45579</v>
      </c>
      <c r="L709" s="2">
        <v>2022</v>
      </c>
      <c r="M709" s="2" t="s">
        <v>51</v>
      </c>
      <c r="N709" s="2">
        <v>439019</v>
      </c>
      <c r="O709" s="2">
        <v>588992</v>
      </c>
      <c r="P709" s="2" t="s">
        <v>49</v>
      </c>
    </row>
    <row r="710" spans="1:16">
      <c r="A710">
        <v>2024</v>
      </c>
      <c r="B710" t="s">
        <v>24</v>
      </c>
      <c r="C710" t="s">
        <v>25</v>
      </c>
      <c r="D710" t="s">
        <v>35</v>
      </c>
      <c r="E710">
        <v>3283</v>
      </c>
      <c r="F710">
        <v>4310</v>
      </c>
      <c r="G710">
        <v>11508</v>
      </c>
      <c r="H710">
        <v>2087</v>
      </c>
      <c r="I710" t="s">
        <v>12</v>
      </c>
      <c r="J710" s="21">
        <f ca="1">DATE(Table2[[#This Row],[Year]],MONTH(1 &amp; Table2[[#This Row],[Month]]),RANDBETWEEN(1,30))</f>
        <v>45591</v>
      </c>
      <c r="L710" s="2">
        <v>2023</v>
      </c>
      <c r="M710" s="2" t="s">
        <v>55</v>
      </c>
      <c r="N710" s="2">
        <v>172727</v>
      </c>
      <c r="O710" s="2">
        <v>310235</v>
      </c>
      <c r="P710" s="2" t="s">
        <v>59</v>
      </c>
    </row>
    <row r="711" spans="1:16">
      <c r="A711">
        <v>2024</v>
      </c>
      <c r="B711" t="s">
        <v>24</v>
      </c>
      <c r="C711" t="s">
        <v>15</v>
      </c>
      <c r="D711" t="s">
        <v>23</v>
      </c>
      <c r="E711">
        <v>3647</v>
      </c>
      <c r="F711">
        <v>1029</v>
      </c>
      <c r="G711">
        <v>4287</v>
      </c>
      <c r="H711">
        <v>2537</v>
      </c>
      <c r="I711" t="s">
        <v>18</v>
      </c>
      <c r="J711" s="21">
        <f ca="1">DATE(Table2[[#This Row],[Year]],MONTH(1 &amp; Table2[[#This Row],[Month]]),RANDBETWEEN(1,30))</f>
        <v>45590</v>
      </c>
      <c r="L711" s="2">
        <v>2025</v>
      </c>
      <c r="M711" s="2" t="s">
        <v>52</v>
      </c>
      <c r="N711" s="2">
        <v>272139</v>
      </c>
      <c r="O711" s="2">
        <v>282283</v>
      </c>
      <c r="P711" s="2" t="s">
        <v>49</v>
      </c>
    </row>
    <row r="712" spans="1:16">
      <c r="A712">
        <v>2024</v>
      </c>
      <c r="B712" t="s">
        <v>24</v>
      </c>
      <c r="C712" t="s">
        <v>10</v>
      </c>
      <c r="D712" t="s">
        <v>35</v>
      </c>
      <c r="E712">
        <v>2667</v>
      </c>
      <c r="F712">
        <v>2013</v>
      </c>
      <c r="G712">
        <v>4144</v>
      </c>
      <c r="H712">
        <v>844</v>
      </c>
      <c r="I712" t="s">
        <v>12</v>
      </c>
      <c r="J712" s="21">
        <f ca="1">DATE(Table2[[#This Row],[Year]],MONTH(1 &amp; Table2[[#This Row],[Month]]),RANDBETWEEN(1,30))</f>
        <v>45583</v>
      </c>
      <c r="L712" s="2">
        <v>2022</v>
      </c>
      <c r="M712" s="2" t="s">
        <v>58</v>
      </c>
      <c r="N712" s="2">
        <v>166200</v>
      </c>
      <c r="O712" s="2">
        <v>403166</v>
      </c>
      <c r="P712" s="2" t="s">
        <v>49</v>
      </c>
    </row>
    <row r="713" spans="1:16">
      <c r="A713">
        <v>2024</v>
      </c>
      <c r="B713" t="s">
        <v>24</v>
      </c>
      <c r="C713" t="s">
        <v>29</v>
      </c>
      <c r="D713" t="s">
        <v>26</v>
      </c>
      <c r="E713">
        <v>600</v>
      </c>
      <c r="F713">
        <v>9832</v>
      </c>
      <c r="G713">
        <v>11849</v>
      </c>
      <c r="H713">
        <v>1550</v>
      </c>
      <c r="I713" t="s">
        <v>28</v>
      </c>
      <c r="J713" s="21">
        <f ca="1">DATE(Table2[[#This Row],[Year]],MONTH(1 &amp; Table2[[#This Row],[Month]]),RANDBETWEEN(1,30))</f>
        <v>45569</v>
      </c>
      <c r="L713" s="2">
        <v>2022</v>
      </c>
      <c r="M713" s="2" t="s">
        <v>58</v>
      </c>
      <c r="N713" s="2">
        <v>382642</v>
      </c>
      <c r="O713" s="2">
        <v>663293</v>
      </c>
      <c r="P713" s="2" t="s">
        <v>59</v>
      </c>
    </row>
    <row r="714" spans="1:16">
      <c r="A714">
        <v>2024</v>
      </c>
      <c r="B714" t="s">
        <v>24</v>
      </c>
      <c r="C714" t="s">
        <v>21</v>
      </c>
      <c r="D714" t="s">
        <v>20</v>
      </c>
      <c r="E714">
        <v>870</v>
      </c>
      <c r="F714">
        <v>7948</v>
      </c>
      <c r="G714">
        <v>11703</v>
      </c>
      <c r="H714">
        <v>848</v>
      </c>
      <c r="I714" t="s">
        <v>18</v>
      </c>
      <c r="J714" s="21">
        <f ca="1">DATE(Table2[[#This Row],[Year]],MONTH(1 &amp; Table2[[#This Row],[Month]]),RANDBETWEEN(1,30))</f>
        <v>45589</v>
      </c>
      <c r="L714" s="2">
        <v>2025</v>
      </c>
      <c r="M714" s="2" t="s">
        <v>51</v>
      </c>
      <c r="N714" s="2">
        <v>314139</v>
      </c>
      <c r="O714" s="2">
        <v>555211</v>
      </c>
      <c r="P714" s="2" t="s">
        <v>59</v>
      </c>
    </row>
    <row r="715" spans="1:16">
      <c r="A715">
        <v>2024</v>
      </c>
      <c r="B715" t="s">
        <v>24</v>
      </c>
      <c r="C715" t="s">
        <v>29</v>
      </c>
      <c r="D715" t="s">
        <v>22</v>
      </c>
      <c r="E715">
        <v>572</v>
      </c>
      <c r="F715">
        <v>4115</v>
      </c>
      <c r="G715">
        <v>3229</v>
      </c>
      <c r="H715">
        <v>630</v>
      </c>
      <c r="I715" t="s">
        <v>18</v>
      </c>
      <c r="J715" s="21">
        <f ca="1">DATE(Table2[[#This Row],[Year]],MONTH(1 &amp; Table2[[#This Row],[Month]]),RANDBETWEEN(1,30))</f>
        <v>45568</v>
      </c>
      <c r="L715" s="2">
        <v>2020</v>
      </c>
      <c r="M715" s="2" t="s">
        <v>56</v>
      </c>
      <c r="N715" s="2">
        <v>354129</v>
      </c>
      <c r="O715" s="2">
        <v>409462</v>
      </c>
      <c r="P715" s="2" t="s">
        <v>49</v>
      </c>
    </row>
    <row r="716" spans="1:16">
      <c r="A716">
        <v>2024</v>
      </c>
      <c r="B716" t="s">
        <v>24</v>
      </c>
      <c r="C716" t="s">
        <v>21</v>
      </c>
      <c r="D716" t="s">
        <v>35</v>
      </c>
      <c r="E716">
        <v>3293</v>
      </c>
      <c r="F716">
        <v>3829</v>
      </c>
      <c r="G716">
        <v>6036</v>
      </c>
      <c r="H716">
        <v>1301</v>
      </c>
      <c r="I716" t="s">
        <v>12</v>
      </c>
      <c r="J716" s="21">
        <f ca="1">DATE(Table2[[#This Row],[Year]],MONTH(1 &amp; Table2[[#This Row],[Month]]),RANDBETWEEN(1,30))</f>
        <v>45577</v>
      </c>
      <c r="L716" s="2">
        <v>2020</v>
      </c>
      <c r="M716" s="2" t="s">
        <v>60</v>
      </c>
      <c r="N716" s="2">
        <v>178595</v>
      </c>
      <c r="O716" s="2">
        <v>458636</v>
      </c>
      <c r="P716" s="2" t="s">
        <v>59</v>
      </c>
    </row>
    <row r="717" spans="1:16">
      <c r="A717">
        <v>2024</v>
      </c>
      <c r="B717" t="s">
        <v>24</v>
      </c>
      <c r="C717" t="s">
        <v>15</v>
      </c>
      <c r="D717" t="s">
        <v>39</v>
      </c>
      <c r="E717">
        <v>1397</v>
      </c>
      <c r="F717">
        <v>3641</v>
      </c>
      <c r="G717">
        <v>10588</v>
      </c>
      <c r="H717">
        <v>689</v>
      </c>
      <c r="I717" t="s">
        <v>28</v>
      </c>
      <c r="J717" s="21">
        <f ca="1">DATE(Table2[[#This Row],[Year]],MONTH(1 &amp; Table2[[#This Row],[Month]]),RANDBETWEEN(1,30))</f>
        <v>45593</v>
      </c>
      <c r="L717" s="2">
        <v>2021</v>
      </c>
      <c r="M717" s="2" t="s">
        <v>57</v>
      </c>
      <c r="N717" s="2">
        <v>184698</v>
      </c>
      <c r="O717" s="2">
        <v>242107</v>
      </c>
      <c r="P717" s="2" t="s">
        <v>53</v>
      </c>
    </row>
    <row r="718" spans="1:16">
      <c r="A718">
        <v>2024</v>
      </c>
      <c r="B718" t="s">
        <v>24</v>
      </c>
      <c r="C718" t="s">
        <v>25</v>
      </c>
      <c r="D718" t="s">
        <v>39</v>
      </c>
      <c r="E718">
        <v>323</v>
      </c>
      <c r="F718">
        <v>4798</v>
      </c>
      <c r="G718">
        <v>7078</v>
      </c>
      <c r="H718">
        <v>438</v>
      </c>
      <c r="I718" t="s">
        <v>18</v>
      </c>
      <c r="J718" s="21">
        <f ca="1">DATE(Table2[[#This Row],[Year]],MONTH(1 &amp; Table2[[#This Row],[Month]]),RANDBETWEEN(1,30))</f>
        <v>45593</v>
      </c>
      <c r="L718" s="2">
        <v>2025</v>
      </c>
      <c r="M718" s="2" t="s">
        <v>58</v>
      </c>
      <c r="N718" s="2">
        <v>116599</v>
      </c>
      <c r="O718" s="2">
        <v>692288</v>
      </c>
      <c r="P718" s="2" t="s">
        <v>59</v>
      </c>
    </row>
    <row r="719" spans="1:16">
      <c r="A719">
        <v>2024</v>
      </c>
      <c r="B719" t="s">
        <v>24</v>
      </c>
      <c r="C719" t="s">
        <v>21</v>
      </c>
      <c r="D719" t="s">
        <v>26</v>
      </c>
      <c r="E719">
        <v>1821</v>
      </c>
      <c r="F719">
        <v>8741</v>
      </c>
      <c r="G719">
        <v>9590</v>
      </c>
      <c r="H719">
        <v>651</v>
      </c>
      <c r="I719" t="s">
        <v>28</v>
      </c>
      <c r="J719" s="21">
        <f ca="1">DATE(Table2[[#This Row],[Year]],MONTH(1 &amp; Table2[[#This Row],[Month]]),RANDBETWEEN(1,30))</f>
        <v>45589</v>
      </c>
      <c r="L719" s="2">
        <v>2021</v>
      </c>
      <c r="M719" s="2" t="s">
        <v>48</v>
      </c>
      <c r="N719" s="2">
        <v>228827</v>
      </c>
      <c r="O719" s="2">
        <v>533204</v>
      </c>
      <c r="P719" s="2" t="s">
        <v>50</v>
      </c>
    </row>
    <row r="720" spans="1:16">
      <c r="A720">
        <v>2024</v>
      </c>
      <c r="B720" t="s">
        <v>32</v>
      </c>
      <c r="C720" t="s">
        <v>21</v>
      </c>
      <c r="D720" t="s">
        <v>43</v>
      </c>
      <c r="E720">
        <v>3638</v>
      </c>
      <c r="F720">
        <v>1378</v>
      </c>
      <c r="G720">
        <v>2657</v>
      </c>
      <c r="H720">
        <v>202</v>
      </c>
      <c r="I720" t="s">
        <v>12</v>
      </c>
      <c r="J720" s="21">
        <f ca="1">DATE(Table2[[#This Row],[Year]],MONTH(1 &amp; Table2[[#This Row],[Month]]),RANDBETWEEN(1,30))</f>
        <v>45624</v>
      </c>
      <c r="L720" s="2">
        <v>2022</v>
      </c>
      <c r="M720" s="2" t="s">
        <v>57</v>
      </c>
      <c r="N720" s="2">
        <v>323898</v>
      </c>
      <c r="O720" s="2">
        <v>342702</v>
      </c>
      <c r="P720" s="2" t="s">
        <v>49</v>
      </c>
    </row>
    <row r="721" spans="1:16">
      <c r="A721">
        <v>2024</v>
      </c>
      <c r="B721" t="s">
        <v>32</v>
      </c>
      <c r="C721" t="s">
        <v>15</v>
      </c>
      <c r="D721" t="s">
        <v>11</v>
      </c>
      <c r="E721">
        <v>3192</v>
      </c>
      <c r="F721">
        <v>9496</v>
      </c>
      <c r="G721">
        <v>2311</v>
      </c>
      <c r="H721">
        <v>785</v>
      </c>
      <c r="I721" t="s">
        <v>18</v>
      </c>
      <c r="J721" s="21">
        <f ca="1">DATE(Table2[[#This Row],[Year]],MONTH(1 &amp; Table2[[#This Row],[Month]]),RANDBETWEEN(1,30))</f>
        <v>45616</v>
      </c>
      <c r="L721" s="2">
        <v>2021</v>
      </c>
      <c r="M721" s="2" t="s">
        <v>55</v>
      </c>
      <c r="N721" s="2">
        <v>443174</v>
      </c>
      <c r="O721" s="2">
        <v>492904</v>
      </c>
      <c r="P721" s="2" t="s">
        <v>50</v>
      </c>
    </row>
    <row r="722" spans="1:16">
      <c r="A722">
        <v>2024</v>
      </c>
      <c r="B722" t="s">
        <v>32</v>
      </c>
      <c r="C722" t="s">
        <v>29</v>
      </c>
      <c r="D722" t="s">
        <v>38</v>
      </c>
      <c r="E722">
        <v>767</v>
      </c>
      <c r="F722">
        <v>3318</v>
      </c>
      <c r="G722">
        <v>7192</v>
      </c>
      <c r="H722">
        <v>961</v>
      </c>
      <c r="I722" t="s">
        <v>12</v>
      </c>
      <c r="J722" s="21">
        <f ca="1">DATE(Table2[[#This Row],[Year]],MONTH(1 &amp; Table2[[#This Row],[Month]]),RANDBETWEEN(1,30))</f>
        <v>45626</v>
      </c>
      <c r="L722" s="2">
        <v>2023</v>
      </c>
      <c r="M722" s="2" t="s">
        <v>51</v>
      </c>
      <c r="N722" s="2">
        <v>366771</v>
      </c>
      <c r="O722" s="2">
        <v>254741</v>
      </c>
      <c r="P722" s="2" t="s">
        <v>53</v>
      </c>
    </row>
    <row r="723" spans="1:16">
      <c r="A723">
        <v>2024</v>
      </c>
      <c r="B723" t="s">
        <v>32</v>
      </c>
      <c r="C723" t="s">
        <v>23</v>
      </c>
      <c r="D723" t="s">
        <v>42</v>
      </c>
      <c r="E723">
        <v>1860</v>
      </c>
      <c r="F723">
        <v>4616</v>
      </c>
      <c r="G723">
        <v>8595</v>
      </c>
      <c r="H723">
        <v>1322</v>
      </c>
      <c r="I723" t="s">
        <v>28</v>
      </c>
      <c r="J723" s="21">
        <f ca="1">DATE(Table2[[#This Row],[Year]],MONTH(1 &amp; Table2[[#This Row],[Month]]),RANDBETWEEN(1,30))</f>
        <v>45603</v>
      </c>
      <c r="L723" s="2">
        <v>2023</v>
      </c>
      <c r="M723" s="2" t="s">
        <v>61</v>
      </c>
      <c r="N723" s="2">
        <v>274159</v>
      </c>
      <c r="O723" s="2">
        <v>682918</v>
      </c>
      <c r="P723" s="2" t="s">
        <v>53</v>
      </c>
    </row>
    <row r="724" spans="1:16">
      <c r="A724">
        <v>2024</v>
      </c>
      <c r="B724" t="s">
        <v>32</v>
      </c>
      <c r="C724" t="s">
        <v>23</v>
      </c>
      <c r="D724" t="s">
        <v>43</v>
      </c>
      <c r="E724">
        <v>3455</v>
      </c>
      <c r="F724">
        <v>6544</v>
      </c>
      <c r="G724">
        <v>2731</v>
      </c>
      <c r="H724">
        <v>2892</v>
      </c>
      <c r="I724" t="s">
        <v>18</v>
      </c>
      <c r="J724" s="21">
        <f ca="1">DATE(Table2[[#This Row],[Year]],MONTH(1 &amp; Table2[[#This Row],[Month]]),RANDBETWEEN(1,30))</f>
        <v>45606</v>
      </c>
      <c r="L724" s="2">
        <v>2025</v>
      </c>
      <c r="M724" s="2" t="s">
        <v>60</v>
      </c>
      <c r="N724" s="2">
        <v>481248</v>
      </c>
      <c r="O724" s="2">
        <v>287392</v>
      </c>
      <c r="P724" s="2" t="s">
        <v>49</v>
      </c>
    </row>
    <row r="725" spans="1:16">
      <c r="A725">
        <v>2024</v>
      </c>
      <c r="B725" t="s">
        <v>32</v>
      </c>
      <c r="C725" t="s">
        <v>21</v>
      </c>
      <c r="D725" t="s">
        <v>42</v>
      </c>
      <c r="E725">
        <v>1692</v>
      </c>
      <c r="F725">
        <v>3540</v>
      </c>
      <c r="G725">
        <v>2376</v>
      </c>
      <c r="H725">
        <v>1790</v>
      </c>
      <c r="I725" t="s">
        <v>12</v>
      </c>
      <c r="J725" s="21">
        <f ca="1">DATE(Table2[[#This Row],[Year]],MONTH(1 &amp; Table2[[#This Row],[Month]]),RANDBETWEEN(1,30))</f>
        <v>45610</v>
      </c>
      <c r="L725" s="2">
        <v>2023</v>
      </c>
      <c r="M725" s="2" t="s">
        <v>52</v>
      </c>
      <c r="N725" s="2">
        <v>387698</v>
      </c>
      <c r="O725" s="2">
        <v>524015</v>
      </c>
      <c r="P725" s="2" t="s">
        <v>53</v>
      </c>
    </row>
    <row r="726" spans="1:16">
      <c r="A726">
        <v>2024</v>
      </c>
      <c r="B726" t="s">
        <v>41</v>
      </c>
      <c r="C726" t="s">
        <v>21</v>
      </c>
      <c r="D726" t="s">
        <v>34</v>
      </c>
      <c r="E726">
        <v>2814</v>
      </c>
      <c r="F726">
        <v>5219</v>
      </c>
      <c r="G726">
        <v>8067</v>
      </c>
      <c r="H726">
        <v>2508</v>
      </c>
      <c r="I726" t="s">
        <v>18</v>
      </c>
      <c r="J726" s="21">
        <f ca="1">DATE(Table2[[#This Row],[Year]],MONTH(1 &amp; Table2[[#This Row],[Month]]),RANDBETWEEN(1,30))</f>
        <v>45639</v>
      </c>
      <c r="L726" s="2">
        <v>2020</v>
      </c>
      <c r="M726" s="2" t="s">
        <v>58</v>
      </c>
      <c r="N726" s="2">
        <v>472066</v>
      </c>
      <c r="O726" s="2">
        <v>322727</v>
      </c>
      <c r="P726" s="2" t="s">
        <v>50</v>
      </c>
    </row>
    <row r="727" spans="1:16">
      <c r="A727">
        <v>2024</v>
      </c>
      <c r="B727" t="s">
        <v>41</v>
      </c>
      <c r="C727" t="s">
        <v>23</v>
      </c>
      <c r="D727" t="s">
        <v>26</v>
      </c>
      <c r="E727">
        <v>1057</v>
      </c>
      <c r="F727">
        <v>1084</v>
      </c>
      <c r="G727">
        <v>11606</v>
      </c>
      <c r="H727">
        <v>2802</v>
      </c>
      <c r="I727" t="s">
        <v>28</v>
      </c>
      <c r="J727" s="21">
        <f ca="1">DATE(Table2[[#This Row],[Year]],MONTH(1 &amp; Table2[[#This Row],[Month]]),RANDBETWEEN(1,30))</f>
        <v>45645</v>
      </c>
      <c r="L727" s="2">
        <v>2020</v>
      </c>
      <c r="M727" s="2" t="s">
        <v>55</v>
      </c>
      <c r="N727" s="2">
        <v>311035</v>
      </c>
      <c r="O727" s="2">
        <v>558781</v>
      </c>
      <c r="P727" s="2" t="s">
        <v>59</v>
      </c>
    </row>
    <row r="728" spans="1:16">
      <c r="A728">
        <v>2024</v>
      </c>
      <c r="B728" t="s">
        <v>41</v>
      </c>
      <c r="C728" t="s">
        <v>23</v>
      </c>
      <c r="D728" t="s">
        <v>17</v>
      </c>
      <c r="E728">
        <v>317</v>
      </c>
      <c r="F728">
        <v>4199</v>
      </c>
      <c r="G728">
        <v>4221</v>
      </c>
      <c r="H728">
        <v>720</v>
      </c>
      <c r="I728" t="s">
        <v>28</v>
      </c>
      <c r="J728" s="21">
        <f ca="1">DATE(Table2[[#This Row],[Year]],MONTH(1 &amp; Table2[[#This Row],[Month]]),RANDBETWEEN(1,30))</f>
        <v>45646</v>
      </c>
      <c r="L728" s="2">
        <v>2024</v>
      </c>
      <c r="M728" s="2" t="s">
        <v>61</v>
      </c>
      <c r="N728" s="2">
        <v>203562</v>
      </c>
      <c r="O728" s="2">
        <v>588411</v>
      </c>
      <c r="P728" s="2" t="s">
        <v>59</v>
      </c>
    </row>
    <row r="729" spans="1:16">
      <c r="A729">
        <v>2024</v>
      </c>
      <c r="B729" t="s">
        <v>41</v>
      </c>
      <c r="C729" t="s">
        <v>21</v>
      </c>
      <c r="D729" t="s">
        <v>20</v>
      </c>
      <c r="E729">
        <v>658</v>
      </c>
      <c r="F729">
        <v>2986</v>
      </c>
      <c r="G729">
        <v>4404</v>
      </c>
      <c r="H729">
        <v>2746</v>
      </c>
      <c r="I729" t="s">
        <v>12</v>
      </c>
      <c r="J729" s="21">
        <f ca="1">DATE(Table2[[#This Row],[Year]],MONTH(1 &amp; Table2[[#This Row],[Month]]),RANDBETWEEN(1,30))</f>
        <v>45642</v>
      </c>
      <c r="L729" s="2">
        <v>2023</v>
      </c>
      <c r="M729" s="2" t="s">
        <v>55</v>
      </c>
      <c r="N729" s="2">
        <v>121131</v>
      </c>
      <c r="O729" s="2">
        <v>536710</v>
      </c>
      <c r="P729" s="2" t="s">
        <v>53</v>
      </c>
    </row>
    <row r="730" spans="1:16">
      <c r="A730">
        <v>2024</v>
      </c>
      <c r="B730" t="s">
        <v>41</v>
      </c>
      <c r="C730" t="s">
        <v>25</v>
      </c>
      <c r="D730" t="s">
        <v>17</v>
      </c>
      <c r="E730">
        <v>3080</v>
      </c>
      <c r="F730">
        <v>4564</v>
      </c>
      <c r="G730">
        <v>10714</v>
      </c>
      <c r="H730">
        <v>2565</v>
      </c>
      <c r="I730" t="s">
        <v>12</v>
      </c>
      <c r="J730" s="21">
        <f ca="1">DATE(Table2[[#This Row],[Year]],MONTH(1 &amp; Table2[[#This Row],[Month]]),RANDBETWEEN(1,30))</f>
        <v>45654</v>
      </c>
      <c r="L730" s="2">
        <v>2025</v>
      </c>
      <c r="M730" s="2" t="s">
        <v>48</v>
      </c>
      <c r="N730" s="2">
        <v>390434</v>
      </c>
      <c r="O730" s="2">
        <v>507250</v>
      </c>
      <c r="P730" s="2" t="s">
        <v>53</v>
      </c>
    </row>
    <row r="731" spans="1:16">
      <c r="A731">
        <v>2024</v>
      </c>
      <c r="B731" t="s">
        <v>41</v>
      </c>
      <c r="C731" t="s">
        <v>21</v>
      </c>
      <c r="D731" t="s">
        <v>34</v>
      </c>
      <c r="E731">
        <v>2127</v>
      </c>
      <c r="F731">
        <v>5666</v>
      </c>
      <c r="G731">
        <v>6043</v>
      </c>
      <c r="H731">
        <v>750</v>
      </c>
      <c r="I731" t="s">
        <v>28</v>
      </c>
      <c r="J731" s="21">
        <f ca="1">DATE(Table2[[#This Row],[Year]],MONTH(1 &amp; Table2[[#This Row],[Month]]),RANDBETWEEN(1,30))</f>
        <v>45656</v>
      </c>
      <c r="L731" s="2">
        <v>2022</v>
      </c>
      <c r="M731" s="2" t="s">
        <v>56</v>
      </c>
      <c r="N731" s="2">
        <v>148521</v>
      </c>
      <c r="O731" s="2">
        <v>646235</v>
      </c>
      <c r="P731" s="2" t="s">
        <v>53</v>
      </c>
    </row>
    <row r="732" spans="1:16">
      <c r="A732">
        <v>2024</v>
      </c>
      <c r="B732" t="s">
        <v>41</v>
      </c>
      <c r="C732" t="s">
        <v>15</v>
      </c>
      <c r="D732" t="s">
        <v>39</v>
      </c>
      <c r="E732">
        <v>504</v>
      </c>
      <c r="F732">
        <v>1318</v>
      </c>
      <c r="G732">
        <v>11601</v>
      </c>
      <c r="H732">
        <v>2575</v>
      </c>
      <c r="I732" t="s">
        <v>12</v>
      </c>
      <c r="J732" s="21">
        <f ca="1">DATE(Table2[[#This Row],[Year]],MONTH(1 &amp; Table2[[#This Row],[Month]]),RANDBETWEEN(1,30))</f>
        <v>45655</v>
      </c>
      <c r="L732" s="2">
        <v>2021</v>
      </c>
      <c r="M732" s="2" t="s">
        <v>61</v>
      </c>
      <c r="N732" s="2">
        <v>221110</v>
      </c>
      <c r="O732" s="2">
        <v>239313</v>
      </c>
      <c r="P732" s="2" t="s">
        <v>50</v>
      </c>
    </row>
    <row r="733" spans="1:16">
      <c r="A733">
        <v>2024</v>
      </c>
      <c r="B733" t="s">
        <v>41</v>
      </c>
      <c r="C733" t="s">
        <v>25</v>
      </c>
      <c r="D733" t="s">
        <v>35</v>
      </c>
      <c r="E733">
        <v>1470</v>
      </c>
      <c r="F733">
        <v>4699</v>
      </c>
      <c r="G733">
        <v>9324</v>
      </c>
      <c r="H733">
        <v>2201</v>
      </c>
      <c r="I733" t="s">
        <v>18</v>
      </c>
      <c r="J733" s="21">
        <f ca="1">DATE(Table2[[#This Row],[Year]],MONTH(1 &amp; Table2[[#This Row],[Month]]),RANDBETWEEN(1,30))</f>
        <v>45640</v>
      </c>
      <c r="L733" s="2">
        <v>2020</v>
      </c>
      <c r="M733" s="2" t="s">
        <v>57</v>
      </c>
      <c r="N733" s="2">
        <v>312988</v>
      </c>
      <c r="O733" s="2">
        <v>365457</v>
      </c>
      <c r="P733" s="2" t="s">
        <v>59</v>
      </c>
    </row>
    <row r="734" spans="1:16">
      <c r="A734">
        <v>2024</v>
      </c>
      <c r="B734" t="s">
        <v>41</v>
      </c>
      <c r="C734" t="s">
        <v>15</v>
      </c>
      <c r="D734" t="s">
        <v>20</v>
      </c>
      <c r="E734">
        <v>2660</v>
      </c>
      <c r="F734">
        <v>4745</v>
      </c>
      <c r="G734">
        <v>2482</v>
      </c>
      <c r="H734">
        <v>2621</v>
      </c>
      <c r="I734" t="s">
        <v>28</v>
      </c>
      <c r="J734" s="21">
        <f ca="1">DATE(Table2[[#This Row],[Year]],MONTH(1 &amp; Table2[[#This Row],[Month]]),RANDBETWEEN(1,30))</f>
        <v>45652</v>
      </c>
      <c r="L734" s="2">
        <v>2022</v>
      </c>
      <c r="M734" s="2" t="s">
        <v>56</v>
      </c>
      <c r="N734" s="2">
        <v>325767</v>
      </c>
      <c r="O734" s="2">
        <v>324144</v>
      </c>
      <c r="P734" s="2" t="s">
        <v>49</v>
      </c>
    </row>
    <row r="735" spans="1:16">
      <c r="A735">
        <v>2024</v>
      </c>
      <c r="B735" t="s">
        <v>41</v>
      </c>
      <c r="C735" t="s">
        <v>15</v>
      </c>
      <c r="D735" t="s">
        <v>11</v>
      </c>
      <c r="E735">
        <v>653</v>
      </c>
      <c r="F735">
        <v>8082</v>
      </c>
      <c r="G735">
        <v>10902</v>
      </c>
      <c r="H735">
        <v>2691</v>
      </c>
      <c r="I735" t="s">
        <v>18</v>
      </c>
      <c r="J735" s="21">
        <f ca="1">DATE(Table2[[#This Row],[Year]],MONTH(1 &amp; Table2[[#This Row],[Month]]),RANDBETWEEN(1,30))</f>
        <v>45646</v>
      </c>
      <c r="L735" s="2">
        <v>2021</v>
      </c>
      <c r="M735" s="2" t="s">
        <v>52</v>
      </c>
      <c r="N735" s="2">
        <v>340233</v>
      </c>
      <c r="O735" s="2">
        <v>694007</v>
      </c>
      <c r="P735" s="2" t="s">
        <v>50</v>
      </c>
    </row>
    <row r="736" spans="1:16">
      <c r="A736">
        <v>2024</v>
      </c>
      <c r="B736" t="s">
        <v>41</v>
      </c>
      <c r="C736" t="s">
        <v>10</v>
      </c>
      <c r="D736" t="s">
        <v>43</v>
      </c>
      <c r="E736">
        <v>949</v>
      </c>
      <c r="F736">
        <v>7990</v>
      </c>
      <c r="G736">
        <v>4261</v>
      </c>
      <c r="H736">
        <v>1173</v>
      </c>
      <c r="I736" t="s">
        <v>18</v>
      </c>
      <c r="J736" s="21">
        <f ca="1">DATE(Table2[[#This Row],[Year]],MONTH(1 &amp; Table2[[#This Row],[Month]]),RANDBETWEEN(1,30))</f>
        <v>45629</v>
      </c>
      <c r="L736" s="2">
        <v>2021</v>
      </c>
      <c r="M736" s="2" t="s">
        <v>48</v>
      </c>
      <c r="N736" s="2">
        <v>166502</v>
      </c>
      <c r="O736" s="2">
        <v>394695</v>
      </c>
      <c r="P736" s="2" t="s">
        <v>59</v>
      </c>
    </row>
    <row r="737" spans="1:16">
      <c r="A737">
        <v>2024</v>
      </c>
      <c r="B737" t="s">
        <v>41</v>
      </c>
      <c r="C737" t="s">
        <v>23</v>
      </c>
      <c r="D737" t="s">
        <v>42</v>
      </c>
      <c r="E737">
        <v>229</v>
      </c>
      <c r="F737">
        <v>5553</v>
      </c>
      <c r="G737">
        <v>10070</v>
      </c>
      <c r="H737">
        <v>2229</v>
      </c>
      <c r="I737" t="s">
        <v>28</v>
      </c>
      <c r="J737" s="21">
        <f ca="1">DATE(Table2[[#This Row],[Year]],MONTH(1 &amp; Table2[[#This Row],[Month]]),RANDBETWEEN(1,30))</f>
        <v>45641</v>
      </c>
      <c r="L737" s="2">
        <v>2023</v>
      </c>
      <c r="M737" s="2" t="s">
        <v>57</v>
      </c>
      <c r="N737" s="2">
        <v>251895</v>
      </c>
      <c r="O737" s="2">
        <v>566306</v>
      </c>
      <c r="P737" s="2" t="s">
        <v>50</v>
      </c>
    </row>
    <row r="738" spans="1:16">
      <c r="A738">
        <v>2024</v>
      </c>
      <c r="B738" t="s">
        <v>41</v>
      </c>
      <c r="C738" t="s">
        <v>15</v>
      </c>
      <c r="D738" t="s">
        <v>42</v>
      </c>
      <c r="E738">
        <v>424</v>
      </c>
      <c r="F738">
        <v>3572</v>
      </c>
      <c r="G738">
        <v>5230</v>
      </c>
      <c r="H738">
        <v>1713</v>
      </c>
      <c r="I738" t="s">
        <v>18</v>
      </c>
      <c r="J738" s="21">
        <f ca="1">DATE(Table2[[#This Row],[Year]],MONTH(1 &amp; Table2[[#This Row],[Month]]),RANDBETWEEN(1,30))</f>
        <v>45653</v>
      </c>
      <c r="L738" s="2">
        <v>2022</v>
      </c>
      <c r="M738" s="2" t="s">
        <v>60</v>
      </c>
      <c r="N738" s="2">
        <v>346878</v>
      </c>
      <c r="O738" s="2">
        <v>542363</v>
      </c>
      <c r="P738" s="2" t="s">
        <v>59</v>
      </c>
    </row>
    <row r="739" spans="1:16">
      <c r="A739">
        <v>2024</v>
      </c>
      <c r="B739" t="s">
        <v>41</v>
      </c>
      <c r="C739" t="s">
        <v>25</v>
      </c>
      <c r="D739" t="s">
        <v>35</v>
      </c>
      <c r="E739">
        <v>2019</v>
      </c>
      <c r="F739">
        <v>4955</v>
      </c>
      <c r="G739">
        <v>3958</v>
      </c>
      <c r="H739">
        <v>1511</v>
      </c>
      <c r="I739" t="s">
        <v>18</v>
      </c>
      <c r="J739" s="21">
        <f ca="1">DATE(Table2[[#This Row],[Year]],MONTH(1 &amp; Table2[[#This Row],[Month]]),RANDBETWEEN(1,30))</f>
        <v>45632</v>
      </c>
      <c r="L739" s="2">
        <v>2022</v>
      </c>
      <c r="M739" s="2" t="s">
        <v>48</v>
      </c>
      <c r="N739" s="2">
        <v>487928</v>
      </c>
      <c r="O739" s="2">
        <v>306041</v>
      </c>
      <c r="P739" s="2" t="s">
        <v>49</v>
      </c>
    </row>
    <row r="740" spans="1:16">
      <c r="A740">
        <v>2025</v>
      </c>
      <c r="B740" t="s">
        <v>9</v>
      </c>
      <c r="C740" t="s">
        <v>10</v>
      </c>
      <c r="D740" t="s">
        <v>11</v>
      </c>
      <c r="E740">
        <v>1318</v>
      </c>
      <c r="F740">
        <v>9555</v>
      </c>
      <c r="G740">
        <v>2705</v>
      </c>
      <c r="H740">
        <v>2111</v>
      </c>
      <c r="I740" t="s">
        <v>12</v>
      </c>
      <c r="J740" s="21">
        <f ca="1">DATE(Table2[[#This Row],[Year]],MONTH(1 &amp; Table2[[#This Row],[Month]]),RANDBETWEEN(1,30))</f>
        <v>45677</v>
      </c>
      <c r="L740" s="2">
        <v>2023</v>
      </c>
      <c r="M740" s="2" t="s">
        <v>48</v>
      </c>
      <c r="N740" s="2">
        <v>391052</v>
      </c>
      <c r="O740" s="2">
        <v>319499</v>
      </c>
      <c r="P740" s="2" t="s">
        <v>59</v>
      </c>
    </row>
    <row r="741" spans="1:16">
      <c r="A741">
        <v>2025</v>
      </c>
      <c r="B741" t="s">
        <v>9</v>
      </c>
      <c r="C741" t="s">
        <v>25</v>
      </c>
      <c r="D741" t="s">
        <v>43</v>
      </c>
      <c r="E741">
        <v>491</v>
      </c>
      <c r="F741">
        <v>7797</v>
      </c>
      <c r="G741">
        <v>6876</v>
      </c>
      <c r="H741">
        <v>2019</v>
      </c>
      <c r="I741" t="s">
        <v>12</v>
      </c>
      <c r="J741" s="21">
        <f ca="1">DATE(Table2[[#This Row],[Year]],MONTH(1 &amp; Table2[[#This Row],[Month]]),RANDBETWEEN(1,30))</f>
        <v>45685</v>
      </c>
      <c r="L741" s="2">
        <v>2023</v>
      </c>
      <c r="M741" s="2" t="s">
        <v>55</v>
      </c>
      <c r="N741" s="2">
        <v>469042</v>
      </c>
      <c r="O741" s="2">
        <v>340642</v>
      </c>
      <c r="P741" s="2" t="s">
        <v>50</v>
      </c>
    </row>
    <row r="742" spans="1:16">
      <c r="A742">
        <v>2025</v>
      </c>
      <c r="B742" t="s">
        <v>9</v>
      </c>
      <c r="C742" t="s">
        <v>21</v>
      </c>
      <c r="D742" t="s">
        <v>35</v>
      </c>
      <c r="E742">
        <v>263</v>
      </c>
      <c r="F742">
        <v>1614</v>
      </c>
      <c r="G742">
        <v>9753</v>
      </c>
      <c r="H742">
        <v>791</v>
      </c>
      <c r="I742" t="s">
        <v>12</v>
      </c>
      <c r="J742" s="21">
        <f ca="1">DATE(Table2[[#This Row],[Year]],MONTH(1 &amp; Table2[[#This Row],[Month]]),RANDBETWEEN(1,30))</f>
        <v>45666</v>
      </c>
      <c r="L742" s="2">
        <v>2023</v>
      </c>
      <c r="M742" s="2" t="s">
        <v>54</v>
      </c>
      <c r="N742" s="2">
        <v>404885</v>
      </c>
      <c r="O742" s="2">
        <v>405564</v>
      </c>
      <c r="P742" s="2" t="s">
        <v>49</v>
      </c>
    </row>
    <row r="743" spans="1:16">
      <c r="A743">
        <v>2025</v>
      </c>
      <c r="B743" t="s">
        <v>9</v>
      </c>
      <c r="C743" t="s">
        <v>29</v>
      </c>
      <c r="D743" t="s">
        <v>35</v>
      </c>
      <c r="E743">
        <v>974</v>
      </c>
      <c r="F743">
        <v>6957</v>
      </c>
      <c r="G743">
        <v>6768</v>
      </c>
      <c r="H743">
        <v>2032</v>
      </c>
      <c r="I743" t="s">
        <v>12</v>
      </c>
      <c r="J743" s="21">
        <f ca="1">DATE(Table2[[#This Row],[Year]],MONTH(1 &amp; Table2[[#This Row],[Month]]),RANDBETWEEN(1,30))</f>
        <v>45671</v>
      </c>
      <c r="L743" s="2">
        <v>2025</v>
      </c>
      <c r="M743" s="2" t="s">
        <v>60</v>
      </c>
      <c r="N743" s="2">
        <v>336687</v>
      </c>
      <c r="O743" s="2">
        <v>317163</v>
      </c>
      <c r="P743" s="2" t="s">
        <v>50</v>
      </c>
    </row>
    <row r="744" spans="1:16">
      <c r="A744">
        <v>2025</v>
      </c>
      <c r="B744" t="s">
        <v>9</v>
      </c>
      <c r="C744" t="s">
        <v>23</v>
      </c>
      <c r="D744" t="s">
        <v>17</v>
      </c>
      <c r="E744">
        <v>307</v>
      </c>
      <c r="F744">
        <v>1870</v>
      </c>
      <c r="G744">
        <v>2089</v>
      </c>
      <c r="H744">
        <v>2620</v>
      </c>
      <c r="I744" t="s">
        <v>12</v>
      </c>
      <c r="J744" s="21">
        <f ca="1">DATE(Table2[[#This Row],[Year]],MONTH(1 &amp; Table2[[#This Row],[Month]]),RANDBETWEEN(1,30))</f>
        <v>45681</v>
      </c>
      <c r="L744" s="2">
        <v>2023</v>
      </c>
      <c r="M744" s="2" t="s">
        <v>57</v>
      </c>
      <c r="N744" s="2">
        <v>176809</v>
      </c>
      <c r="O744" s="2">
        <v>209826</v>
      </c>
      <c r="P744" s="2" t="s">
        <v>50</v>
      </c>
    </row>
    <row r="745" spans="1:16">
      <c r="A745">
        <v>2025</v>
      </c>
      <c r="B745" t="s">
        <v>9</v>
      </c>
      <c r="C745" t="s">
        <v>10</v>
      </c>
      <c r="D745" t="s">
        <v>42</v>
      </c>
      <c r="E745">
        <v>2753</v>
      </c>
      <c r="F745">
        <v>5887</v>
      </c>
      <c r="G745">
        <v>8946</v>
      </c>
      <c r="H745">
        <v>2833</v>
      </c>
      <c r="I745" t="s">
        <v>18</v>
      </c>
      <c r="J745" s="21">
        <f ca="1">DATE(Table2[[#This Row],[Year]],MONTH(1 &amp; Table2[[#This Row],[Month]]),RANDBETWEEN(1,30))</f>
        <v>45681</v>
      </c>
      <c r="L745" s="2">
        <v>2024</v>
      </c>
      <c r="M745" s="2" t="s">
        <v>56</v>
      </c>
      <c r="N745" s="2">
        <v>366674</v>
      </c>
      <c r="O745" s="2">
        <v>639697</v>
      </c>
      <c r="P745" s="2" t="s">
        <v>53</v>
      </c>
    </row>
    <row r="746" spans="1:16">
      <c r="A746">
        <v>2025</v>
      </c>
      <c r="B746" t="s">
        <v>9</v>
      </c>
      <c r="C746" t="s">
        <v>15</v>
      </c>
      <c r="D746" t="s">
        <v>11</v>
      </c>
      <c r="E746">
        <v>2415</v>
      </c>
      <c r="F746">
        <v>6588</v>
      </c>
      <c r="G746">
        <v>2921</v>
      </c>
      <c r="H746">
        <v>1300</v>
      </c>
      <c r="I746" t="s">
        <v>28</v>
      </c>
      <c r="J746" s="21">
        <f ca="1">DATE(Table2[[#This Row],[Year]],MONTH(1 &amp; Table2[[#This Row],[Month]]),RANDBETWEEN(1,30))</f>
        <v>45658</v>
      </c>
      <c r="L746" s="2">
        <v>2025</v>
      </c>
      <c r="M746" s="2" t="s">
        <v>54</v>
      </c>
      <c r="N746" s="2">
        <v>349352</v>
      </c>
      <c r="O746" s="2">
        <v>682805</v>
      </c>
      <c r="P746" s="2" t="s">
        <v>59</v>
      </c>
    </row>
    <row r="747" spans="1:16">
      <c r="A747">
        <v>2025</v>
      </c>
      <c r="B747" t="s">
        <v>9</v>
      </c>
      <c r="C747" t="s">
        <v>21</v>
      </c>
      <c r="D747" t="s">
        <v>23</v>
      </c>
      <c r="E747">
        <v>3601</v>
      </c>
      <c r="F747">
        <v>1378</v>
      </c>
      <c r="G747">
        <v>6340</v>
      </c>
      <c r="H747">
        <v>631</v>
      </c>
      <c r="I747" t="s">
        <v>28</v>
      </c>
      <c r="J747" s="21">
        <f ca="1">DATE(Table2[[#This Row],[Year]],MONTH(1 &amp; Table2[[#This Row],[Month]]),RANDBETWEEN(1,30))</f>
        <v>45672</v>
      </c>
      <c r="L747" s="2">
        <v>2022</v>
      </c>
      <c r="M747" s="2" t="s">
        <v>60</v>
      </c>
      <c r="N747" s="2">
        <v>340988</v>
      </c>
      <c r="O747" s="2">
        <v>370785</v>
      </c>
      <c r="P747" s="2" t="s">
        <v>50</v>
      </c>
    </row>
    <row r="748" spans="1:16">
      <c r="A748">
        <v>2025</v>
      </c>
      <c r="B748" t="s">
        <v>9</v>
      </c>
      <c r="C748" t="s">
        <v>21</v>
      </c>
      <c r="D748" t="s">
        <v>42</v>
      </c>
      <c r="E748">
        <v>1582</v>
      </c>
      <c r="F748">
        <v>1470</v>
      </c>
      <c r="G748">
        <v>3816</v>
      </c>
      <c r="H748">
        <v>1119</v>
      </c>
      <c r="I748" t="s">
        <v>12</v>
      </c>
      <c r="J748" s="21">
        <f ca="1">DATE(Table2[[#This Row],[Year]],MONTH(1 &amp; Table2[[#This Row],[Month]]),RANDBETWEEN(1,30))</f>
        <v>45681</v>
      </c>
      <c r="L748" s="2">
        <v>2021</v>
      </c>
      <c r="M748" s="2" t="s">
        <v>58</v>
      </c>
      <c r="N748" s="2">
        <v>295914</v>
      </c>
      <c r="O748" s="2">
        <v>369253</v>
      </c>
      <c r="P748" s="2" t="s">
        <v>59</v>
      </c>
    </row>
    <row r="749" spans="1:16">
      <c r="A749">
        <v>2025</v>
      </c>
      <c r="B749" t="s">
        <v>9</v>
      </c>
      <c r="C749" t="s">
        <v>15</v>
      </c>
      <c r="D749" t="s">
        <v>11</v>
      </c>
      <c r="E749">
        <v>2116</v>
      </c>
      <c r="F749">
        <v>8101</v>
      </c>
      <c r="G749">
        <v>6851</v>
      </c>
      <c r="H749">
        <v>2475</v>
      </c>
      <c r="I749" t="s">
        <v>18</v>
      </c>
      <c r="J749" s="21">
        <f ca="1">DATE(Table2[[#This Row],[Year]],MONTH(1 &amp; Table2[[#This Row],[Month]]),RANDBETWEEN(1,30))</f>
        <v>45675</v>
      </c>
      <c r="L749" s="2">
        <v>2025</v>
      </c>
      <c r="M749" s="2" t="s">
        <v>60</v>
      </c>
      <c r="N749" s="2">
        <v>311463</v>
      </c>
      <c r="O749" s="2">
        <v>203546</v>
      </c>
      <c r="P749" s="2" t="s">
        <v>53</v>
      </c>
    </row>
    <row r="750" spans="1:16">
      <c r="A750">
        <v>2025</v>
      </c>
      <c r="B750" t="s">
        <v>9</v>
      </c>
      <c r="C750" t="s">
        <v>15</v>
      </c>
      <c r="D750" t="s">
        <v>17</v>
      </c>
      <c r="E750">
        <v>1977</v>
      </c>
      <c r="F750">
        <v>1236</v>
      </c>
      <c r="G750">
        <v>5531</v>
      </c>
      <c r="H750">
        <v>526</v>
      </c>
      <c r="I750" t="s">
        <v>18</v>
      </c>
      <c r="J750" s="21">
        <f ca="1">DATE(Table2[[#This Row],[Year]],MONTH(1 &amp; Table2[[#This Row],[Month]]),RANDBETWEEN(1,30))</f>
        <v>45674</v>
      </c>
      <c r="L750" s="2">
        <v>2021</v>
      </c>
      <c r="M750" s="2" t="s">
        <v>51</v>
      </c>
      <c r="N750" s="2">
        <v>233777</v>
      </c>
      <c r="O750" s="2">
        <v>540125</v>
      </c>
      <c r="P750" s="2" t="s">
        <v>59</v>
      </c>
    </row>
    <row r="751" spans="1:16">
      <c r="A751">
        <v>2025</v>
      </c>
      <c r="B751" t="s">
        <v>9</v>
      </c>
      <c r="C751" t="s">
        <v>25</v>
      </c>
      <c r="D751" t="s">
        <v>11</v>
      </c>
      <c r="E751">
        <v>3369</v>
      </c>
      <c r="F751">
        <v>3926</v>
      </c>
      <c r="G751">
        <v>8760</v>
      </c>
      <c r="H751">
        <v>1314</v>
      </c>
      <c r="I751" t="s">
        <v>12</v>
      </c>
      <c r="J751" s="21">
        <f ca="1">DATE(Table2[[#This Row],[Year]],MONTH(1 &amp; Table2[[#This Row],[Month]]),RANDBETWEEN(1,30))</f>
        <v>45668</v>
      </c>
      <c r="L751" s="2">
        <v>2023</v>
      </c>
      <c r="M751" s="2" t="s">
        <v>56</v>
      </c>
      <c r="N751" s="2">
        <v>307725</v>
      </c>
      <c r="O751" s="2">
        <v>612720</v>
      </c>
      <c r="P751" s="2" t="s">
        <v>50</v>
      </c>
    </row>
    <row r="752" spans="1:16">
      <c r="A752">
        <v>2025</v>
      </c>
      <c r="B752" t="s">
        <v>9</v>
      </c>
      <c r="C752" t="s">
        <v>21</v>
      </c>
      <c r="D752" t="s">
        <v>43</v>
      </c>
      <c r="E752">
        <v>870</v>
      </c>
      <c r="F752">
        <v>1641</v>
      </c>
      <c r="G752">
        <v>9740</v>
      </c>
      <c r="H752">
        <v>1242</v>
      </c>
      <c r="I752" t="s">
        <v>12</v>
      </c>
      <c r="J752" s="21">
        <f ca="1">DATE(Table2[[#This Row],[Year]],MONTH(1 &amp; Table2[[#This Row],[Month]]),RANDBETWEEN(1,30))</f>
        <v>45664</v>
      </c>
      <c r="L752" s="2">
        <v>2023</v>
      </c>
      <c r="M752" s="2" t="s">
        <v>48</v>
      </c>
      <c r="N752" s="2">
        <v>179022</v>
      </c>
      <c r="O752" s="2">
        <v>273304</v>
      </c>
      <c r="P752" s="2" t="s">
        <v>49</v>
      </c>
    </row>
    <row r="753" spans="1:16">
      <c r="A753">
        <v>2025</v>
      </c>
      <c r="B753" t="s">
        <v>19</v>
      </c>
      <c r="C753" t="s">
        <v>25</v>
      </c>
      <c r="D753" t="s">
        <v>38</v>
      </c>
      <c r="E753">
        <v>3433</v>
      </c>
      <c r="F753">
        <v>9270</v>
      </c>
      <c r="G753">
        <v>11175</v>
      </c>
      <c r="H753">
        <v>285</v>
      </c>
      <c r="I753" t="s">
        <v>18</v>
      </c>
      <c r="J753" s="21">
        <f ca="1">DATE(Table2[[#This Row],[Year]],MONTH(1 &amp; Table2[[#This Row],[Month]]),RANDBETWEEN(1,30))</f>
        <v>45701</v>
      </c>
      <c r="L753" s="2">
        <v>2024</v>
      </c>
      <c r="M753" s="2" t="s">
        <v>58</v>
      </c>
      <c r="N753" s="2">
        <v>422070</v>
      </c>
      <c r="O753" s="2">
        <v>279833</v>
      </c>
      <c r="P753" s="2" t="s">
        <v>59</v>
      </c>
    </row>
    <row r="754" spans="1:16">
      <c r="A754">
        <v>2025</v>
      </c>
      <c r="B754" t="s">
        <v>19</v>
      </c>
      <c r="C754" t="s">
        <v>25</v>
      </c>
      <c r="D754" t="s">
        <v>34</v>
      </c>
      <c r="E754">
        <v>93</v>
      </c>
      <c r="F754">
        <v>7094</v>
      </c>
      <c r="G754">
        <v>4201</v>
      </c>
      <c r="H754">
        <v>503</v>
      </c>
      <c r="I754" t="s">
        <v>28</v>
      </c>
      <c r="J754" s="21">
        <f ca="1">DATE(Table2[[#This Row],[Year]],MONTH(1 &amp; Table2[[#This Row],[Month]]),RANDBETWEEN(1,30))</f>
        <v>45692</v>
      </c>
      <c r="L754" s="2">
        <v>2023</v>
      </c>
      <c r="M754" s="2" t="s">
        <v>48</v>
      </c>
      <c r="N754" s="2">
        <v>174311</v>
      </c>
      <c r="O754" s="2">
        <v>595042</v>
      </c>
      <c r="P754" s="2" t="s">
        <v>59</v>
      </c>
    </row>
    <row r="755" spans="1:16">
      <c r="A755">
        <v>2025</v>
      </c>
      <c r="B755" t="s">
        <v>19</v>
      </c>
      <c r="C755" t="s">
        <v>29</v>
      </c>
      <c r="D755" t="s">
        <v>20</v>
      </c>
      <c r="E755">
        <v>3120</v>
      </c>
      <c r="F755">
        <v>9011</v>
      </c>
      <c r="G755">
        <v>11681</v>
      </c>
      <c r="H755">
        <v>1934</v>
      </c>
      <c r="I755" t="s">
        <v>12</v>
      </c>
      <c r="J755" s="21">
        <f ca="1">DATE(Table2[[#This Row],[Year]],MONTH(1 &amp; Table2[[#This Row],[Month]]),RANDBETWEEN(1,30))</f>
        <v>45715</v>
      </c>
      <c r="L755" s="2">
        <v>2024</v>
      </c>
      <c r="M755" s="2" t="s">
        <v>51</v>
      </c>
      <c r="N755" s="2">
        <v>133987</v>
      </c>
      <c r="O755" s="2">
        <v>508145</v>
      </c>
      <c r="P755" s="2" t="s">
        <v>49</v>
      </c>
    </row>
    <row r="756" spans="1:16">
      <c r="A756">
        <v>2025</v>
      </c>
      <c r="B756" t="s">
        <v>19</v>
      </c>
      <c r="C756" t="s">
        <v>21</v>
      </c>
      <c r="D756" t="s">
        <v>22</v>
      </c>
      <c r="E756">
        <v>3174</v>
      </c>
      <c r="F756">
        <v>3748</v>
      </c>
      <c r="G756">
        <v>9365</v>
      </c>
      <c r="H756">
        <v>2531</v>
      </c>
      <c r="I756" t="s">
        <v>12</v>
      </c>
      <c r="J756" s="21">
        <f ca="1">DATE(Table2[[#This Row],[Year]],MONTH(1 &amp; Table2[[#This Row],[Month]]),RANDBETWEEN(1,30))</f>
        <v>45701</v>
      </c>
      <c r="L756" s="2">
        <v>2024</v>
      </c>
      <c r="M756" s="2" t="s">
        <v>61</v>
      </c>
      <c r="N756" s="2">
        <v>274498</v>
      </c>
      <c r="O756" s="2">
        <v>222430</v>
      </c>
      <c r="P756" s="2" t="s">
        <v>49</v>
      </c>
    </row>
    <row r="757" spans="1:16">
      <c r="A757">
        <v>2025</v>
      </c>
      <c r="B757" t="s">
        <v>19</v>
      </c>
      <c r="C757" t="s">
        <v>25</v>
      </c>
      <c r="D757" t="s">
        <v>43</v>
      </c>
      <c r="E757">
        <v>2379</v>
      </c>
      <c r="F757">
        <v>9476</v>
      </c>
      <c r="G757">
        <v>9021</v>
      </c>
      <c r="H757">
        <v>2772</v>
      </c>
      <c r="I757" t="s">
        <v>28</v>
      </c>
      <c r="J757" s="21">
        <f ca="1">DATE(Table2[[#This Row],[Year]],MONTH(1 &amp; Table2[[#This Row],[Month]]),RANDBETWEEN(1,30))</f>
        <v>45693</v>
      </c>
      <c r="L757" s="2">
        <v>2023</v>
      </c>
      <c r="M757" s="2" t="s">
        <v>55</v>
      </c>
      <c r="N757" s="2">
        <v>363323</v>
      </c>
      <c r="O757" s="2">
        <v>511273</v>
      </c>
      <c r="P757" s="2" t="s">
        <v>53</v>
      </c>
    </row>
    <row r="758" spans="1:16">
      <c r="A758">
        <v>2025</v>
      </c>
      <c r="B758" t="s">
        <v>19</v>
      </c>
      <c r="C758" t="s">
        <v>29</v>
      </c>
      <c r="D758" t="s">
        <v>37</v>
      </c>
      <c r="E758">
        <v>1678</v>
      </c>
      <c r="F758">
        <v>7011</v>
      </c>
      <c r="G758">
        <v>5739</v>
      </c>
      <c r="H758">
        <v>272</v>
      </c>
      <c r="I758" t="s">
        <v>18</v>
      </c>
      <c r="J758" s="21">
        <f ca="1">DATE(Table2[[#This Row],[Year]],MONTH(1 &amp; Table2[[#This Row],[Month]]),RANDBETWEEN(1,30))</f>
        <v>45709</v>
      </c>
      <c r="L758" s="2">
        <v>2024</v>
      </c>
      <c r="M758" s="2" t="s">
        <v>57</v>
      </c>
      <c r="N758" s="2">
        <v>275087</v>
      </c>
      <c r="O758" s="2">
        <v>354459</v>
      </c>
      <c r="P758" s="2" t="s">
        <v>49</v>
      </c>
    </row>
    <row r="759" spans="1:16">
      <c r="A759">
        <v>2025</v>
      </c>
      <c r="B759" t="s">
        <v>19</v>
      </c>
      <c r="C759" t="s">
        <v>10</v>
      </c>
      <c r="D759" t="s">
        <v>30</v>
      </c>
      <c r="E759">
        <v>2322</v>
      </c>
      <c r="F759">
        <v>6905</v>
      </c>
      <c r="G759">
        <v>2078</v>
      </c>
      <c r="H759">
        <v>1604</v>
      </c>
      <c r="I759" t="s">
        <v>28</v>
      </c>
      <c r="J759" s="21">
        <f ca="1">DATE(Table2[[#This Row],[Year]],MONTH(1 &amp; Table2[[#This Row],[Month]]),RANDBETWEEN(1,30))</f>
        <v>45714</v>
      </c>
      <c r="L759" s="2">
        <v>2024</v>
      </c>
      <c r="M759" s="2" t="s">
        <v>61</v>
      </c>
      <c r="N759" s="2">
        <v>210702</v>
      </c>
      <c r="O759" s="2">
        <v>384363</v>
      </c>
      <c r="P759" s="2" t="s">
        <v>49</v>
      </c>
    </row>
    <row r="760" spans="1:16">
      <c r="A760">
        <v>2025</v>
      </c>
      <c r="B760" t="s">
        <v>19</v>
      </c>
      <c r="C760" t="s">
        <v>23</v>
      </c>
      <c r="D760" t="s">
        <v>37</v>
      </c>
      <c r="E760">
        <v>2321</v>
      </c>
      <c r="F760">
        <v>5154</v>
      </c>
      <c r="G760">
        <v>4420</v>
      </c>
      <c r="H760">
        <v>1784</v>
      </c>
      <c r="I760" t="s">
        <v>12</v>
      </c>
      <c r="J760" s="21">
        <f ca="1">DATE(Table2[[#This Row],[Year]],MONTH(1 &amp; Table2[[#This Row],[Month]]),RANDBETWEEN(1,30))</f>
        <v>45696</v>
      </c>
      <c r="L760" s="2">
        <v>2021</v>
      </c>
      <c r="M760" s="2" t="s">
        <v>58</v>
      </c>
      <c r="N760" s="2">
        <v>323268</v>
      </c>
      <c r="O760" s="2">
        <v>584866</v>
      </c>
      <c r="P760" s="2" t="s">
        <v>50</v>
      </c>
    </row>
    <row r="761" spans="1:16">
      <c r="A761">
        <v>2025</v>
      </c>
      <c r="B761" t="s">
        <v>19</v>
      </c>
      <c r="C761" t="s">
        <v>21</v>
      </c>
      <c r="D761" t="s">
        <v>16</v>
      </c>
      <c r="E761">
        <v>1457</v>
      </c>
      <c r="F761">
        <v>1229</v>
      </c>
      <c r="G761">
        <v>2741</v>
      </c>
      <c r="H761">
        <v>997</v>
      </c>
      <c r="I761" t="s">
        <v>12</v>
      </c>
      <c r="J761" s="21">
        <f ca="1">DATE(Table2[[#This Row],[Year]],MONTH(1 &amp; Table2[[#This Row],[Month]]),RANDBETWEEN(1,30))</f>
        <v>45706</v>
      </c>
      <c r="L761" s="2">
        <v>2023</v>
      </c>
      <c r="M761" s="2" t="s">
        <v>61</v>
      </c>
      <c r="N761" s="2">
        <v>238801</v>
      </c>
      <c r="O761" s="2">
        <v>605468</v>
      </c>
      <c r="P761" s="2" t="s">
        <v>53</v>
      </c>
    </row>
    <row r="762" spans="1:16">
      <c r="A762">
        <v>2025</v>
      </c>
      <c r="B762" t="s">
        <v>19</v>
      </c>
      <c r="C762" t="s">
        <v>29</v>
      </c>
      <c r="D762" t="s">
        <v>39</v>
      </c>
      <c r="E762">
        <v>3435</v>
      </c>
      <c r="F762">
        <v>3699</v>
      </c>
      <c r="G762">
        <v>10385</v>
      </c>
      <c r="H762">
        <v>1209</v>
      </c>
      <c r="I762" t="s">
        <v>18</v>
      </c>
      <c r="J762" s="21">
        <f ca="1">DATE(Table2[[#This Row],[Year]],MONTH(1 &amp; Table2[[#This Row],[Month]]),RANDBETWEEN(1,30))</f>
        <v>45712</v>
      </c>
      <c r="L762" s="2">
        <v>2020</v>
      </c>
      <c r="M762" s="2" t="s">
        <v>58</v>
      </c>
      <c r="N762" s="2">
        <v>473147</v>
      </c>
      <c r="O762" s="2">
        <v>400178</v>
      </c>
      <c r="P762" s="2" t="s">
        <v>49</v>
      </c>
    </row>
    <row r="763" spans="1:16">
      <c r="A763">
        <v>2025</v>
      </c>
      <c r="B763" t="s">
        <v>19</v>
      </c>
      <c r="C763" t="s">
        <v>25</v>
      </c>
      <c r="D763" t="s">
        <v>26</v>
      </c>
      <c r="E763">
        <v>1321</v>
      </c>
      <c r="F763">
        <v>2260</v>
      </c>
      <c r="G763">
        <v>7150</v>
      </c>
      <c r="H763">
        <v>812</v>
      </c>
      <c r="I763" t="s">
        <v>28</v>
      </c>
      <c r="J763" s="21">
        <f ca="1">DATE(Table2[[#This Row],[Year]],MONTH(1 &amp; Table2[[#This Row],[Month]]),RANDBETWEEN(1,30))</f>
        <v>45695</v>
      </c>
      <c r="L763" s="2">
        <v>2024</v>
      </c>
      <c r="M763" s="2" t="s">
        <v>51</v>
      </c>
      <c r="N763" s="2">
        <v>469058</v>
      </c>
      <c r="O763" s="2">
        <v>673576</v>
      </c>
      <c r="P763" s="2" t="s">
        <v>53</v>
      </c>
    </row>
    <row r="764" spans="1:16">
      <c r="A764">
        <v>2025</v>
      </c>
      <c r="B764" t="s">
        <v>19</v>
      </c>
      <c r="C764" t="s">
        <v>23</v>
      </c>
      <c r="D764" t="s">
        <v>34</v>
      </c>
      <c r="E764">
        <v>2105</v>
      </c>
      <c r="F764">
        <v>1468</v>
      </c>
      <c r="G764">
        <v>10565</v>
      </c>
      <c r="H764">
        <v>496</v>
      </c>
      <c r="I764" t="s">
        <v>12</v>
      </c>
      <c r="J764" s="21">
        <f ca="1">DATE(Table2[[#This Row],[Year]],MONTH(1 &amp; Table2[[#This Row],[Month]]),RANDBETWEEN(1,30))</f>
        <v>45707</v>
      </c>
      <c r="L764" s="2">
        <v>2025</v>
      </c>
      <c r="M764" s="2" t="s">
        <v>54</v>
      </c>
      <c r="N764" s="2">
        <v>300949</v>
      </c>
      <c r="O764" s="2">
        <v>403231</v>
      </c>
      <c r="P764" s="2" t="s">
        <v>49</v>
      </c>
    </row>
    <row r="765" spans="1:16">
      <c r="A765">
        <v>2025</v>
      </c>
      <c r="B765" t="s">
        <v>19</v>
      </c>
      <c r="C765" t="s">
        <v>15</v>
      </c>
      <c r="D765" t="s">
        <v>11</v>
      </c>
      <c r="E765">
        <v>1193</v>
      </c>
      <c r="F765">
        <v>9603</v>
      </c>
      <c r="G765">
        <v>7180</v>
      </c>
      <c r="H765">
        <v>1995</v>
      </c>
      <c r="I765" t="s">
        <v>18</v>
      </c>
      <c r="J765" s="21">
        <f ca="1">DATE(Table2[[#This Row],[Year]],MONTH(1 &amp; Table2[[#This Row],[Month]]),RANDBETWEEN(1,30))</f>
        <v>45694</v>
      </c>
      <c r="L765" s="2">
        <v>2023</v>
      </c>
      <c r="M765" s="2" t="s">
        <v>60</v>
      </c>
      <c r="N765" s="2">
        <v>231154</v>
      </c>
      <c r="O765" s="2">
        <v>585918</v>
      </c>
      <c r="P765" s="2" t="s">
        <v>53</v>
      </c>
    </row>
    <row r="766" spans="1:16">
      <c r="A766">
        <v>2025</v>
      </c>
      <c r="B766" t="s">
        <v>19</v>
      </c>
      <c r="C766" t="s">
        <v>15</v>
      </c>
      <c r="D766" t="s">
        <v>23</v>
      </c>
      <c r="E766">
        <v>1171</v>
      </c>
      <c r="F766">
        <v>7516</v>
      </c>
      <c r="G766">
        <v>5372</v>
      </c>
      <c r="H766">
        <v>913</v>
      </c>
      <c r="I766" t="s">
        <v>28</v>
      </c>
      <c r="J766" s="21">
        <f ca="1">DATE(Table2[[#This Row],[Year]],MONTH(1 &amp; Table2[[#This Row],[Month]]),RANDBETWEEN(1,30))</f>
        <v>45718</v>
      </c>
      <c r="L766" s="2">
        <v>2024</v>
      </c>
      <c r="M766" s="2" t="s">
        <v>56</v>
      </c>
      <c r="N766" s="2">
        <v>394853</v>
      </c>
      <c r="O766" s="2">
        <v>441939</v>
      </c>
      <c r="P766" s="2" t="s">
        <v>50</v>
      </c>
    </row>
    <row r="767" spans="1:16">
      <c r="A767">
        <v>2025</v>
      </c>
      <c r="B767" t="s">
        <v>36</v>
      </c>
      <c r="C767" t="s">
        <v>23</v>
      </c>
      <c r="D767" t="s">
        <v>39</v>
      </c>
      <c r="E767">
        <v>1027</v>
      </c>
      <c r="F767">
        <v>6299</v>
      </c>
      <c r="G767">
        <v>2390</v>
      </c>
      <c r="H767">
        <v>1167</v>
      </c>
      <c r="I767" t="s">
        <v>28</v>
      </c>
      <c r="J767" s="21">
        <f ca="1">DATE(Table2[[#This Row],[Year]],MONTH(1 &amp; Table2[[#This Row],[Month]]),RANDBETWEEN(1,30))</f>
        <v>45734</v>
      </c>
      <c r="L767" s="2">
        <v>2024</v>
      </c>
      <c r="M767" s="2" t="s">
        <v>51</v>
      </c>
      <c r="N767" s="2">
        <v>114685</v>
      </c>
      <c r="O767" s="2">
        <v>648766</v>
      </c>
      <c r="P767" s="2" t="s">
        <v>49</v>
      </c>
    </row>
    <row r="768" spans="1:16">
      <c r="A768">
        <v>2025</v>
      </c>
      <c r="B768" t="s">
        <v>36</v>
      </c>
      <c r="C768" t="s">
        <v>25</v>
      </c>
      <c r="D768" t="s">
        <v>42</v>
      </c>
      <c r="E768">
        <v>3591</v>
      </c>
      <c r="F768">
        <v>1951</v>
      </c>
      <c r="G768">
        <v>7111</v>
      </c>
      <c r="H768">
        <v>1943</v>
      </c>
      <c r="I768" t="s">
        <v>28</v>
      </c>
      <c r="J768" s="21">
        <f ca="1">DATE(Table2[[#This Row],[Year]],MONTH(1 &amp; Table2[[#This Row],[Month]]),RANDBETWEEN(1,30))</f>
        <v>45719</v>
      </c>
      <c r="L768" s="2">
        <v>2025</v>
      </c>
      <c r="M768" s="2" t="s">
        <v>48</v>
      </c>
      <c r="N768" s="2">
        <v>289908</v>
      </c>
      <c r="O768" s="2">
        <v>653881</v>
      </c>
      <c r="P768" s="2" t="s">
        <v>49</v>
      </c>
    </row>
    <row r="769" spans="1:16">
      <c r="A769">
        <v>2025</v>
      </c>
      <c r="B769" t="s">
        <v>36</v>
      </c>
      <c r="C769" t="s">
        <v>10</v>
      </c>
      <c r="D769" t="s">
        <v>39</v>
      </c>
      <c r="E769">
        <v>1277</v>
      </c>
      <c r="F769">
        <v>6878</v>
      </c>
      <c r="G769">
        <v>9011</v>
      </c>
      <c r="H769">
        <v>2488</v>
      </c>
      <c r="I769" t="s">
        <v>18</v>
      </c>
      <c r="J769" s="21">
        <f ca="1">DATE(Table2[[#This Row],[Year]],MONTH(1 &amp; Table2[[#This Row],[Month]]),RANDBETWEEN(1,30))</f>
        <v>45720</v>
      </c>
      <c r="L769" s="2">
        <v>2025</v>
      </c>
      <c r="M769" s="2" t="s">
        <v>54</v>
      </c>
      <c r="N769" s="2">
        <v>234529</v>
      </c>
      <c r="O769" s="2">
        <v>243708</v>
      </c>
      <c r="P769" s="2" t="s">
        <v>59</v>
      </c>
    </row>
    <row r="770" spans="1:16">
      <c r="A770">
        <v>2025</v>
      </c>
      <c r="B770" t="s">
        <v>36</v>
      </c>
      <c r="C770" t="s">
        <v>15</v>
      </c>
      <c r="D770" t="s">
        <v>26</v>
      </c>
      <c r="E770">
        <v>3994</v>
      </c>
      <c r="F770">
        <v>1711</v>
      </c>
      <c r="G770">
        <v>7214</v>
      </c>
      <c r="H770">
        <v>2046</v>
      </c>
      <c r="I770" t="s">
        <v>28</v>
      </c>
      <c r="J770" s="21">
        <f ca="1">DATE(Table2[[#This Row],[Year]],MONTH(1 &amp; Table2[[#This Row],[Month]]),RANDBETWEEN(1,30))</f>
        <v>45746</v>
      </c>
      <c r="L770" s="2">
        <v>2021</v>
      </c>
      <c r="M770" s="2" t="s">
        <v>61</v>
      </c>
      <c r="N770" s="2">
        <v>468214</v>
      </c>
      <c r="O770" s="2">
        <v>668247</v>
      </c>
      <c r="P770" s="2" t="s">
        <v>49</v>
      </c>
    </row>
    <row r="771" spans="1:16">
      <c r="A771">
        <v>2025</v>
      </c>
      <c r="B771" t="s">
        <v>36</v>
      </c>
      <c r="C771" t="s">
        <v>21</v>
      </c>
      <c r="D771" t="s">
        <v>37</v>
      </c>
      <c r="E771">
        <v>274</v>
      </c>
      <c r="F771">
        <v>8758</v>
      </c>
      <c r="G771">
        <v>8248</v>
      </c>
      <c r="H771">
        <v>1860</v>
      </c>
      <c r="I771" t="s">
        <v>18</v>
      </c>
      <c r="J771" s="21">
        <f ca="1">DATE(Table2[[#This Row],[Year]],MONTH(1 &amp; Table2[[#This Row],[Month]]),RANDBETWEEN(1,30))</f>
        <v>45744</v>
      </c>
      <c r="L771" s="2">
        <v>2025</v>
      </c>
      <c r="M771" s="2" t="s">
        <v>61</v>
      </c>
      <c r="N771" s="2">
        <v>104801</v>
      </c>
      <c r="O771" s="2">
        <v>612767</v>
      </c>
      <c r="P771" s="2" t="s">
        <v>59</v>
      </c>
    </row>
    <row r="772" spans="1:16">
      <c r="A772">
        <v>2025</v>
      </c>
      <c r="B772" t="s">
        <v>36</v>
      </c>
      <c r="C772" t="s">
        <v>21</v>
      </c>
      <c r="D772" t="s">
        <v>37</v>
      </c>
      <c r="E772">
        <v>634</v>
      </c>
      <c r="F772">
        <v>1050</v>
      </c>
      <c r="G772">
        <v>5544</v>
      </c>
      <c r="H772">
        <v>1130</v>
      </c>
      <c r="I772" t="s">
        <v>12</v>
      </c>
      <c r="J772" s="21">
        <f ca="1">DATE(Table2[[#This Row],[Year]],MONTH(1 &amp; Table2[[#This Row],[Month]]),RANDBETWEEN(1,30))</f>
        <v>45744</v>
      </c>
      <c r="L772" s="2">
        <v>2020</v>
      </c>
      <c r="M772" s="2" t="s">
        <v>55</v>
      </c>
      <c r="N772" s="2">
        <v>321126</v>
      </c>
      <c r="O772" s="2">
        <v>595655</v>
      </c>
      <c r="P772" s="2" t="s">
        <v>53</v>
      </c>
    </row>
    <row r="773" spans="1:16">
      <c r="A773">
        <v>2025</v>
      </c>
      <c r="B773" t="s">
        <v>36</v>
      </c>
      <c r="C773" t="s">
        <v>25</v>
      </c>
      <c r="D773" t="s">
        <v>35</v>
      </c>
      <c r="E773">
        <v>2828</v>
      </c>
      <c r="F773">
        <v>9056</v>
      </c>
      <c r="G773">
        <v>2193</v>
      </c>
      <c r="H773">
        <v>1119</v>
      </c>
      <c r="I773" t="s">
        <v>28</v>
      </c>
      <c r="J773" s="21">
        <f ca="1">DATE(Table2[[#This Row],[Year]],MONTH(1 &amp; Table2[[#This Row],[Month]]),RANDBETWEEN(1,30))</f>
        <v>45744</v>
      </c>
      <c r="L773" s="2">
        <v>2021</v>
      </c>
      <c r="M773" s="2" t="s">
        <v>56</v>
      </c>
      <c r="N773" s="2">
        <v>396265</v>
      </c>
      <c r="O773" s="2">
        <v>300456</v>
      </c>
      <c r="P773" s="2" t="s">
        <v>59</v>
      </c>
    </row>
    <row r="774" spans="1:16">
      <c r="A774">
        <v>2025</v>
      </c>
      <c r="B774" t="s">
        <v>36</v>
      </c>
      <c r="C774" t="s">
        <v>10</v>
      </c>
      <c r="D774" t="s">
        <v>38</v>
      </c>
      <c r="E774">
        <v>1951</v>
      </c>
      <c r="F774">
        <v>5138</v>
      </c>
      <c r="G774">
        <v>9409</v>
      </c>
      <c r="H774">
        <v>2488</v>
      </c>
      <c r="I774" t="s">
        <v>18</v>
      </c>
      <c r="J774" s="21">
        <f ca="1">DATE(Table2[[#This Row],[Year]],MONTH(1 &amp; Table2[[#This Row],[Month]]),RANDBETWEEN(1,30))</f>
        <v>45728</v>
      </c>
      <c r="L774" s="2">
        <v>2022</v>
      </c>
      <c r="M774" s="2" t="s">
        <v>55</v>
      </c>
      <c r="N774" s="2">
        <v>294007</v>
      </c>
      <c r="O774" s="2">
        <v>602560</v>
      </c>
      <c r="P774" s="2" t="s">
        <v>53</v>
      </c>
    </row>
    <row r="775" spans="1:16">
      <c r="A775">
        <v>2025</v>
      </c>
      <c r="B775" t="s">
        <v>36</v>
      </c>
      <c r="C775" t="s">
        <v>21</v>
      </c>
      <c r="D775" t="s">
        <v>30</v>
      </c>
      <c r="E775">
        <v>2151</v>
      </c>
      <c r="F775">
        <v>5394</v>
      </c>
      <c r="G775">
        <v>8778</v>
      </c>
      <c r="H775">
        <v>1372</v>
      </c>
      <c r="I775" t="s">
        <v>12</v>
      </c>
      <c r="J775" s="21">
        <f ca="1">DATE(Table2[[#This Row],[Year]],MONTH(1 &amp; Table2[[#This Row],[Month]]),RANDBETWEEN(1,30))</f>
        <v>45726</v>
      </c>
      <c r="L775" s="2">
        <v>2020</v>
      </c>
      <c r="M775" s="2" t="s">
        <v>61</v>
      </c>
      <c r="N775" s="2">
        <v>134161</v>
      </c>
      <c r="O775" s="2">
        <v>625066</v>
      </c>
      <c r="P775" s="2" t="s">
        <v>49</v>
      </c>
    </row>
    <row r="776" spans="1:16">
      <c r="A776">
        <v>2025</v>
      </c>
      <c r="B776" t="s">
        <v>36</v>
      </c>
      <c r="C776" t="s">
        <v>23</v>
      </c>
      <c r="D776" t="s">
        <v>17</v>
      </c>
      <c r="E776">
        <v>3213</v>
      </c>
      <c r="F776">
        <v>3482</v>
      </c>
      <c r="G776">
        <v>5683</v>
      </c>
      <c r="H776">
        <v>655</v>
      </c>
      <c r="I776" t="s">
        <v>18</v>
      </c>
      <c r="J776" s="21">
        <f ca="1">DATE(Table2[[#This Row],[Year]],MONTH(1 &amp; Table2[[#This Row],[Month]]),RANDBETWEEN(1,30))</f>
        <v>45722</v>
      </c>
      <c r="L776" s="2">
        <v>2021</v>
      </c>
      <c r="M776" s="2" t="s">
        <v>57</v>
      </c>
      <c r="N776" s="2">
        <v>488985</v>
      </c>
      <c r="O776" s="2">
        <v>344575</v>
      </c>
      <c r="P776" s="2" t="s">
        <v>49</v>
      </c>
    </row>
    <row r="777" spans="1:16">
      <c r="A777">
        <v>2025</v>
      </c>
      <c r="B777" t="s">
        <v>36</v>
      </c>
      <c r="C777" t="s">
        <v>23</v>
      </c>
      <c r="D777" t="s">
        <v>39</v>
      </c>
      <c r="E777">
        <v>159</v>
      </c>
      <c r="F777">
        <v>7196</v>
      </c>
      <c r="G777">
        <v>4035</v>
      </c>
      <c r="H777">
        <v>2162</v>
      </c>
      <c r="I777" t="s">
        <v>28</v>
      </c>
      <c r="J777" s="21">
        <f ca="1">DATE(Table2[[#This Row],[Year]],MONTH(1 &amp; Table2[[#This Row],[Month]]),RANDBETWEEN(1,30))</f>
        <v>45721</v>
      </c>
      <c r="L777" s="2">
        <v>2020</v>
      </c>
      <c r="M777" s="2" t="s">
        <v>52</v>
      </c>
      <c r="N777" s="2">
        <v>307204</v>
      </c>
      <c r="O777" s="2">
        <v>676130</v>
      </c>
      <c r="P777" s="2" t="s">
        <v>59</v>
      </c>
    </row>
    <row r="778" spans="1:16">
      <c r="A778">
        <v>2025</v>
      </c>
      <c r="B778" t="s">
        <v>14</v>
      </c>
      <c r="C778" t="s">
        <v>23</v>
      </c>
      <c r="D778" t="s">
        <v>43</v>
      </c>
      <c r="E778">
        <v>3914</v>
      </c>
      <c r="F778">
        <v>3750</v>
      </c>
      <c r="G778">
        <v>4996</v>
      </c>
      <c r="H778">
        <v>2134</v>
      </c>
      <c r="I778" t="s">
        <v>18</v>
      </c>
      <c r="J778" s="21">
        <f ca="1">DATE(Table2[[#This Row],[Year]],MONTH(1 &amp; Table2[[#This Row],[Month]]),RANDBETWEEN(1,30))</f>
        <v>45776</v>
      </c>
      <c r="L778" s="2">
        <v>2022</v>
      </c>
      <c r="M778" s="2" t="s">
        <v>56</v>
      </c>
      <c r="N778" s="2">
        <v>345674</v>
      </c>
      <c r="O778" s="2">
        <v>224930</v>
      </c>
      <c r="P778" s="2" t="s">
        <v>53</v>
      </c>
    </row>
    <row r="779" spans="1:16">
      <c r="A779">
        <v>2025</v>
      </c>
      <c r="B779" t="s">
        <v>14</v>
      </c>
      <c r="C779" t="s">
        <v>25</v>
      </c>
      <c r="D779" t="s">
        <v>23</v>
      </c>
      <c r="E779">
        <v>3818</v>
      </c>
      <c r="F779">
        <v>6242</v>
      </c>
      <c r="G779">
        <v>2578</v>
      </c>
      <c r="H779">
        <v>1483</v>
      </c>
      <c r="I779" t="s">
        <v>28</v>
      </c>
      <c r="J779" s="21">
        <f ca="1">DATE(Table2[[#This Row],[Year]],MONTH(1 &amp; Table2[[#This Row],[Month]]),RANDBETWEEN(1,30))</f>
        <v>45770</v>
      </c>
      <c r="L779" s="2">
        <v>2024</v>
      </c>
      <c r="M779" s="2" t="s">
        <v>58</v>
      </c>
      <c r="N779" s="2">
        <v>194644</v>
      </c>
      <c r="O779" s="2">
        <v>274955</v>
      </c>
      <c r="P779" s="2" t="s">
        <v>50</v>
      </c>
    </row>
    <row r="780" spans="1:16">
      <c r="A780">
        <v>2025</v>
      </c>
      <c r="B780" t="s">
        <v>14</v>
      </c>
      <c r="C780" t="s">
        <v>29</v>
      </c>
      <c r="D780" t="s">
        <v>16</v>
      </c>
      <c r="E780">
        <v>1119</v>
      </c>
      <c r="F780">
        <v>2422</v>
      </c>
      <c r="G780">
        <v>4505</v>
      </c>
      <c r="H780">
        <v>2762</v>
      </c>
      <c r="I780" t="s">
        <v>12</v>
      </c>
      <c r="J780" s="21">
        <f ca="1">DATE(Table2[[#This Row],[Year]],MONTH(1 &amp; Table2[[#This Row],[Month]]),RANDBETWEEN(1,30))</f>
        <v>45756</v>
      </c>
      <c r="L780" s="2">
        <v>2023</v>
      </c>
      <c r="M780" s="2" t="s">
        <v>52</v>
      </c>
      <c r="N780" s="2">
        <v>293399</v>
      </c>
      <c r="O780" s="2">
        <v>468791</v>
      </c>
      <c r="P780" s="2" t="s">
        <v>53</v>
      </c>
    </row>
    <row r="781" spans="1:16">
      <c r="A781">
        <v>2025</v>
      </c>
      <c r="B781" t="s">
        <v>14</v>
      </c>
      <c r="C781" t="s">
        <v>25</v>
      </c>
      <c r="D781" t="s">
        <v>20</v>
      </c>
      <c r="E781">
        <v>3990</v>
      </c>
      <c r="F781">
        <v>3534</v>
      </c>
      <c r="G781">
        <v>2137</v>
      </c>
      <c r="H781">
        <v>2708</v>
      </c>
      <c r="I781" t="s">
        <v>12</v>
      </c>
      <c r="J781" s="21">
        <f ca="1">DATE(Table2[[#This Row],[Year]],MONTH(1 &amp; Table2[[#This Row],[Month]]),RANDBETWEEN(1,30))</f>
        <v>45754</v>
      </c>
      <c r="L781" s="2">
        <v>2021</v>
      </c>
      <c r="M781" s="2" t="s">
        <v>60</v>
      </c>
      <c r="N781" s="2">
        <v>271660</v>
      </c>
      <c r="O781" s="2">
        <v>487896</v>
      </c>
      <c r="P781" s="2" t="s">
        <v>49</v>
      </c>
    </row>
    <row r="782" spans="1:16">
      <c r="A782">
        <v>2025</v>
      </c>
      <c r="B782" t="s">
        <v>14</v>
      </c>
      <c r="C782" t="s">
        <v>25</v>
      </c>
      <c r="D782" t="s">
        <v>26</v>
      </c>
      <c r="E782">
        <v>3778</v>
      </c>
      <c r="F782">
        <v>9386</v>
      </c>
      <c r="G782">
        <v>8769</v>
      </c>
      <c r="H782">
        <v>1029</v>
      </c>
      <c r="I782" t="s">
        <v>12</v>
      </c>
      <c r="J782" s="21">
        <f ca="1">DATE(Table2[[#This Row],[Year]],MONTH(1 &amp; Table2[[#This Row],[Month]]),RANDBETWEEN(1,30))</f>
        <v>45751</v>
      </c>
      <c r="L782" s="2">
        <v>2020</v>
      </c>
      <c r="M782" s="2" t="s">
        <v>58</v>
      </c>
      <c r="N782" s="2">
        <v>129958</v>
      </c>
      <c r="O782" s="2">
        <v>522575</v>
      </c>
      <c r="P782" s="2" t="s">
        <v>50</v>
      </c>
    </row>
    <row r="783" spans="1:16">
      <c r="A783">
        <v>2025</v>
      </c>
      <c r="B783" t="s">
        <v>14</v>
      </c>
      <c r="C783" t="s">
        <v>23</v>
      </c>
      <c r="D783" t="s">
        <v>35</v>
      </c>
      <c r="E783">
        <v>2825</v>
      </c>
      <c r="F783">
        <v>4588</v>
      </c>
      <c r="G783">
        <v>7525</v>
      </c>
      <c r="H783">
        <v>2667</v>
      </c>
      <c r="I783" t="s">
        <v>12</v>
      </c>
      <c r="J783" s="21">
        <f ca="1">DATE(Table2[[#This Row],[Year]],MONTH(1 &amp; Table2[[#This Row],[Month]]),RANDBETWEEN(1,30))</f>
        <v>45777</v>
      </c>
      <c r="L783" s="2">
        <v>2020</v>
      </c>
      <c r="M783" s="2" t="s">
        <v>61</v>
      </c>
      <c r="N783" s="2">
        <v>142464</v>
      </c>
      <c r="O783" s="2">
        <v>208485</v>
      </c>
      <c r="P783" s="2" t="s">
        <v>53</v>
      </c>
    </row>
    <row r="784" spans="1:16">
      <c r="A784">
        <v>2025</v>
      </c>
      <c r="B784" t="s">
        <v>14</v>
      </c>
      <c r="C784" t="s">
        <v>21</v>
      </c>
      <c r="D784" t="s">
        <v>26</v>
      </c>
      <c r="E784">
        <v>771</v>
      </c>
      <c r="F784">
        <v>1893</v>
      </c>
      <c r="G784">
        <v>9117</v>
      </c>
      <c r="H784">
        <v>2515</v>
      </c>
      <c r="I784" t="s">
        <v>18</v>
      </c>
      <c r="J784" s="21">
        <f ca="1">DATE(Table2[[#This Row],[Year]],MONTH(1 &amp; Table2[[#This Row],[Month]]),RANDBETWEEN(1,30))</f>
        <v>45751</v>
      </c>
      <c r="L784" s="2">
        <v>2022</v>
      </c>
      <c r="M784" s="2" t="s">
        <v>48</v>
      </c>
      <c r="N784" s="2">
        <v>434989</v>
      </c>
      <c r="O784" s="2">
        <v>680183</v>
      </c>
      <c r="P784" s="2" t="s">
        <v>49</v>
      </c>
    </row>
    <row r="785" spans="1:16">
      <c r="A785">
        <v>2025</v>
      </c>
      <c r="B785" t="s">
        <v>33</v>
      </c>
      <c r="C785" t="s">
        <v>21</v>
      </c>
      <c r="D785" t="s">
        <v>42</v>
      </c>
      <c r="E785">
        <v>2197</v>
      </c>
      <c r="F785">
        <v>5693</v>
      </c>
      <c r="G785">
        <v>5684</v>
      </c>
      <c r="H785">
        <v>1397</v>
      </c>
      <c r="I785" t="s">
        <v>18</v>
      </c>
      <c r="J785" s="21">
        <f ca="1">DATE(Table2[[#This Row],[Year]],MONTH(1 &amp; Table2[[#This Row],[Month]]),RANDBETWEEN(1,30))</f>
        <v>45802</v>
      </c>
      <c r="L785" s="2">
        <v>2022</v>
      </c>
      <c r="M785" s="2" t="s">
        <v>54</v>
      </c>
      <c r="N785" s="2">
        <v>195928</v>
      </c>
      <c r="O785" s="2">
        <v>222294</v>
      </c>
      <c r="P785" s="2" t="s">
        <v>50</v>
      </c>
    </row>
    <row r="786" spans="1:16">
      <c r="A786">
        <v>2025</v>
      </c>
      <c r="B786" t="s">
        <v>33</v>
      </c>
      <c r="C786" t="s">
        <v>10</v>
      </c>
      <c r="D786" t="s">
        <v>23</v>
      </c>
      <c r="E786">
        <v>935</v>
      </c>
      <c r="F786">
        <v>5400</v>
      </c>
      <c r="G786">
        <v>10218</v>
      </c>
      <c r="H786">
        <v>1193</v>
      </c>
      <c r="I786" t="s">
        <v>28</v>
      </c>
      <c r="J786" s="21">
        <f ca="1">DATE(Table2[[#This Row],[Year]],MONTH(1 &amp; Table2[[#This Row],[Month]]),RANDBETWEEN(1,30))</f>
        <v>45799</v>
      </c>
      <c r="L786" s="2">
        <v>2021</v>
      </c>
      <c r="M786" s="2" t="s">
        <v>55</v>
      </c>
      <c r="N786" s="2">
        <v>177983</v>
      </c>
      <c r="O786" s="2">
        <v>271531</v>
      </c>
      <c r="P786" s="2" t="s">
        <v>49</v>
      </c>
    </row>
    <row r="787" spans="1:16">
      <c r="A787">
        <v>2025</v>
      </c>
      <c r="B787" t="s">
        <v>33</v>
      </c>
      <c r="C787" t="s">
        <v>25</v>
      </c>
      <c r="D787" t="s">
        <v>16</v>
      </c>
      <c r="E787">
        <v>819</v>
      </c>
      <c r="F787">
        <v>4220</v>
      </c>
      <c r="G787">
        <v>5465</v>
      </c>
      <c r="H787">
        <v>1887</v>
      </c>
      <c r="I787" t="s">
        <v>28</v>
      </c>
      <c r="J787" s="21">
        <f ca="1">DATE(Table2[[#This Row],[Year]],MONTH(1 &amp; Table2[[#This Row],[Month]]),RANDBETWEEN(1,30))</f>
        <v>45792</v>
      </c>
      <c r="L787" s="2">
        <v>2022</v>
      </c>
      <c r="M787" s="2" t="s">
        <v>48</v>
      </c>
      <c r="N787" s="2">
        <v>301965</v>
      </c>
      <c r="O787" s="2">
        <v>207007</v>
      </c>
      <c r="P787" s="2" t="s">
        <v>50</v>
      </c>
    </row>
    <row r="788" spans="1:16">
      <c r="A788">
        <v>2025</v>
      </c>
      <c r="B788" t="s">
        <v>33</v>
      </c>
      <c r="C788" t="s">
        <v>29</v>
      </c>
      <c r="D788" t="s">
        <v>37</v>
      </c>
      <c r="E788">
        <v>1695</v>
      </c>
      <c r="F788">
        <v>5946</v>
      </c>
      <c r="G788">
        <v>3338</v>
      </c>
      <c r="H788">
        <v>2265</v>
      </c>
      <c r="I788" t="s">
        <v>12</v>
      </c>
      <c r="J788" s="21">
        <f ca="1">DATE(Table2[[#This Row],[Year]],MONTH(1 &amp; Table2[[#This Row],[Month]]),RANDBETWEEN(1,30))</f>
        <v>45801</v>
      </c>
      <c r="L788" s="2">
        <v>2023</v>
      </c>
      <c r="M788" s="2" t="s">
        <v>55</v>
      </c>
      <c r="N788" s="2">
        <v>407499</v>
      </c>
      <c r="O788" s="2">
        <v>483429</v>
      </c>
      <c r="P788" s="2" t="s">
        <v>53</v>
      </c>
    </row>
    <row r="789" spans="1:16">
      <c r="A789">
        <v>2025</v>
      </c>
      <c r="B789" t="s">
        <v>33</v>
      </c>
      <c r="C789" t="s">
        <v>23</v>
      </c>
      <c r="D789" t="s">
        <v>23</v>
      </c>
      <c r="E789">
        <v>3226</v>
      </c>
      <c r="F789">
        <v>9029</v>
      </c>
      <c r="G789">
        <v>9132</v>
      </c>
      <c r="H789">
        <v>2552</v>
      </c>
      <c r="I789" t="s">
        <v>28</v>
      </c>
      <c r="J789" s="21">
        <f ca="1">DATE(Table2[[#This Row],[Year]],MONTH(1 &amp; Table2[[#This Row],[Month]]),RANDBETWEEN(1,30))</f>
        <v>45781</v>
      </c>
      <c r="L789" s="2">
        <v>2021</v>
      </c>
      <c r="M789" s="2" t="s">
        <v>48</v>
      </c>
      <c r="N789" s="2">
        <v>124779</v>
      </c>
      <c r="O789" s="2">
        <v>666133</v>
      </c>
      <c r="P789" s="2" t="s">
        <v>53</v>
      </c>
    </row>
    <row r="790" spans="1:16">
      <c r="A790">
        <v>2025</v>
      </c>
      <c r="B790" t="s">
        <v>33</v>
      </c>
      <c r="C790" t="s">
        <v>15</v>
      </c>
      <c r="D790" t="s">
        <v>16</v>
      </c>
      <c r="E790">
        <v>3822</v>
      </c>
      <c r="F790">
        <v>4008</v>
      </c>
      <c r="G790">
        <v>9543</v>
      </c>
      <c r="H790">
        <v>2489</v>
      </c>
      <c r="I790" t="s">
        <v>28</v>
      </c>
      <c r="J790" s="21">
        <f ca="1">DATE(Table2[[#This Row],[Year]],MONTH(1 &amp; Table2[[#This Row],[Month]]),RANDBETWEEN(1,30))</f>
        <v>45792</v>
      </c>
      <c r="L790" s="2">
        <v>2024</v>
      </c>
      <c r="M790" s="2" t="s">
        <v>54</v>
      </c>
      <c r="N790" s="2">
        <v>330723</v>
      </c>
      <c r="O790" s="2">
        <v>532974</v>
      </c>
      <c r="P790" s="2" t="s">
        <v>53</v>
      </c>
    </row>
    <row r="791" spans="1:16">
      <c r="A791">
        <v>2025</v>
      </c>
      <c r="B791" t="s">
        <v>33</v>
      </c>
      <c r="C791" t="s">
        <v>29</v>
      </c>
      <c r="D791" t="s">
        <v>37</v>
      </c>
      <c r="E791">
        <v>2692</v>
      </c>
      <c r="F791">
        <v>8577</v>
      </c>
      <c r="G791">
        <v>3861</v>
      </c>
      <c r="H791">
        <v>2715</v>
      </c>
      <c r="I791" t="s">
        <v>28</v>
      </c>
      <c r="J791" s="21">
        <f ca="1">DATE(Table2[[#This Row],[Year]],MONTH(1 &amp; Table2[[#This Row],[Month]]),RANDBETWEEN(1,30))</f>
        <v>45782</v>
      </c>
      <c r="L791" s="2">
        <v>2023</v>
      </c>
      <c r="M791" s="2" t="s">
        <v>54</v>
      </c>
      <c r="N791" s="2">
        <v>147684</v>
      </c>
      <c r="O791" s="2">
        <v>611329</v>
      </c>
      <c r="P791" s="2" t="s">
        <v>50</v>
      </c>
    </row>
    <row r="792" spans="1:16">
      <c r="A792">
        <v>2025</v>
      </c>
      <c r="B792" t="s">
        <v>33</v>
      </c>
      <c r="C792" t="s">
        <v>29</v>
      </c>
      <c r="D792" t="s">
        <v>39</v>
      </c>
      <c r="E792">
        <v>1793</v>
      </c>
      <c r="F792">
        <v>3513</v>
      </c>
      <c r="G792">
        <v>11467</v>
      </c>
      <c r="H792">
        <v>1249</v>
      </c>
      <c r="I792" t="s">
        <v>18</v>
      </c>
      <c r="J792" s="21">
        <f ca="1">DATE(Table2[[#This Row],[Year]],MONTH(1 &amp; Table2[[#This Row],[Month]]),RANDBETWEEN(1,30))</f>
        <v>45805</v>
      </c>
      <c r="L792" s="2">
        <v>2021</v>
      </c>
      <c r="M792" s="2" t="s">
        <v>52</v>
      </c>
      <c r="N792" s="2">
        <v>114584</v>
      </c>
      <c r="O792" s="2">
        <v>206641</v>
      </c>
      <c r="P792" s="2" t="s">
        <v>53</v>
      </c>
    </row>
    <row r="793" spans="1:16">
      <c r="A793">
        <v>2025</v>
      </c>
      <c r="B793" t="s">
        <v>33</v>
      </c>
      <c r="C793" t="s">
        <v>29</v>
      </c>
      <c r="D793" t="s">
        <v>37</v>
      </c>
      <c r="E793">
        <v>173</v>
      </c>
      <c r="F793">
        <v>5053</v>
      </c>
      <c r="G793">
        <v>2756</v>
      </c>
      <c r="H793">
        <v>342</v>
      </c>
      <c r="I793" t="s">
        <v>28</v>
      </c>
      <c r="J793" s="21">
        <f ca="1">DATE(Table2[[#This Row],[Year]],MONTH(1 &amp; Table2[[#This Row],[Month]]),RANDBETWEEN(1,30))</f>
        <v>45780</v>
      </c>
      <c r="L793" s="2">
        <v>2021</v>
      </c>
      <c r="M793" s="2" t="s">
        <v>56</v>
      </c>
      <c r="N793" s="2">
        <v>121098</v>
      </c>
      <c r="O793" s="2">
        <v>471008</v>
      </c>
      <c r="P793" s="2" t="s">
        <v>50</v>
      </c>
    </row>
    <row r="794" spans="1:16">
      <c r="A794">
        <v>2025</v>
      </c>
      <c r="B794" t="s">
        <v>33</v>
      </c>
      <c r="C794" t="s">
        <v>25</v>
      </c>
      <c r="D794" t="s">
        <v>37</v>
      </c>
      <c r="E794">
        <v>945</v>
      </c>
      <c r="F794">
        <v>5792</v>
      </c>
      <c r="G794">
        <v>4243</v>
      </c>
      <c r="H794">
        <v>908</v>
      </c>
      <c r="I794" t="s">
        <v>12</v>
      </c>
      <c r="J794" s="21">
        <f ca="1">DATE(Table2[[#This Row],[Year]],MONTH(1 &amp; Table2[[#This Row],[Month]]),RANDBETWEEN(1,30))</f>
        <v>45784</v>
      </c>
      <c r="L794" s="2">
        <v>2021</v>
      </c>
      <c r="M794" s="2" t="s">
        <v>55</v>
      </c>
      <c r="N794" s="2">
        <v>433666</v>
      </c>
      <c r="O794" s="2">
        <v>429781</v>
      </c>
      <c r="P794" s="2" t="s">
        <v>59</v>
      </c>
    </row>
    <row r="795" spans="1:16">
      <c r="A795">
        <v>2025</v>
      </c>
      <c r="B795" t="s">
        <v>33</v>
      </c>
      <c r="C795" t="s">
        <v>15</v>
      </c>
      <c r="D795" t="s">
        <v>17</v>
      </c>
      <c r="E795">
        <v>2956</v>
      </c>
      <c r="F795">
        <v>5556</v>
      </c>
      <c r="G795">
        <v>10817</v>
      </c>
      <c r="H795">
        <v>973</v>
      </c>
      <c r="I795" t="s">
        <v>12</v>
      </c>
      <c r="J795" s="21">
        <f ca="1">DATE(Table2[[#This Row],[Year]],MONTH(1 &amp; Table2[[#This Row],[Month]]),RANDBETWEEN(1,30))</f>
        <v>45806</v>
      </c>
      <c r="L795" s="2">
        <v>2020</v>
      </c>
      <c r="M795" s="2" t="s">
        <v>48</v>
      </c>
      <c r="N795" s="2">
        <v>147189</v>
      </c>
      <c r="O795" s="2">
        <v>449484</v>
      </c>
      <c r="P795" s="2" t="s">
        <v>49</v>
      </c>
    </row>
    <row r="796" spans="1:16">
      <c r="A796">
        <v>2025</v>
      </c>
      <c r="B796" t="s">
        <v>33</v>
      </c>
      <c r="C796" t="s">
        <v>15</v>
      </c>
      <c r="D796" t="s">
        <v>17</v>
      </c>
      <c r="E796">
        <v>3497</v>
      </c>
      <c r="F796">
        <v>3826</v>
      </c>
      <c r="G796">
        <v>3403</v>
      </c>
      <c r="H796">
        <v>1505</v>
      </c>
      <c r="I796" t="s">
        <v>18</v>
      </c>
      <c r="J796" s="21">
        <f ca="1">DATE(Table2[[#This Row],[Year]],MONTH(1 &amp; Table2[[#This Row],[Month]]),RANDBETWEEN(1,30))</f>
        <v>45779</v>
      </c>
      <c r="L796" s="2">
        <v>2025</v>
      </c>
      <c r="M796" s="2" t="s">
        <v>58</v>
      </c>
      <c r="N796" s="2">
        <v>118061</v>
      </c>
      <c r="O796" s="2">
        <v>236107</v>
      </c>
      <c r="P796" s="2" t="s">
        <v>59</v>
      </c>
    </row>
    <row r="797" spans="1:16">
      <c r="A797">
        <v>2025</v>
      </c>
      <c r="B797" t="s">
        <v>33</v>
      </c>
      <c r="C797" t="s">
        <v>25</v>
      </c>
      <c r="D797" t="s">
        <v>42</v>
      </c>
      <c r="E797">
        <v>2635</v>
      </c>
      <c r="F797">
        <v>2483</v>
      </c>
      <c r="G797">
        <v>4419</v>
      </c>
      <c r="H797">
        <v>650</v>
      </c>
      <c r="I797" t="s">
        <v>18</v>
      </c>
      <c r="J797" s="21">
        <f ca="1">DATE(Table2[[#This Row],[Year]],MONTH(1 &amp; Table2[[#This Row],[Month]]),RANDBETWEEN(1,30))</f>
        <v>45804</v>
      </c>
      <c r="L797" s="2">
        <v>2021</v>
      </c>
      <c r="M797" s="2" t="s">
        <v>48</v>
      </c>
      <c r="N797" s="2">
        <v>275160</v>
      </c>
      <c r="O797" s="2">
        <v>542218</v>
      </c>
      <c r="P797" s="2" t="s">
        <v>50</v>
      </c>
    </row>
    <row r="798" spans="1:16">
      <c r="A798">
        <v>2025</v>
      </c>
      <c r="B798" t="s">
        <v>33</v>
      </c>
      <c r="C798" t="s">
        <v>10</v>
      </c>
      <c r="D798" t="s">
        <v>30</v>
      </c>
      <c r="E798">
        <v>2697</v>
      </c>
      <c r="F798">
        <v>2183</v>
      </c>
      <c r="G798">
        <v>3176</v>
      </c>
      <c r="H798">
        <v>1155</v>
      </c>
      <c r="I798" t="s">
        <v>18</v>
      </c>
      <c r="J798" s="21">
        <f ca="1">DATE(Table2[[#This Row],[Year]],MONTH(1 &amp; Table2[[#This Row],[Month]]),RANDBETWEEN(1,30))</f>
        <v>45786</v>
      </c>
      <c r="L798" s="2">
        <v>2020</v>
      </c>
      <c r="M798" s="2" t="s">
        <v>56</v>
      </c>
      <c r="N798" s="2">
        <v>437597</v>
      </c>
      <c r="O798" s="2">
        <v>451610</v>
      </c>
      <c r="P798" s="2" t="s">
        <v>53</v>
      </c>
    </row>
    <row r="799" spans="1:16">
      <c r="A799">
        <v>2025</v>
      </c>
      <c r="B799" t="s">
        <v>33</v>
      </c>
      <c r="C799" t="s">
        <v>10</v>
      </c>
      <c r="D799" t="s">
        <v>37</v>
      </c>
      <c r="E799">
        <v>678</v>
      </c>
      <c r="F799">
        <v>1519</v>
      </c>
      <c r="G799">
        <v>5138</v>
      </c>
      <c r="H799">
        <v>1837</v>
      </c>
      <c r="I799" t="s">
        <v>18</v>
      </c>
      <c r="J799" s="21">
        <f ca="1">DATE(Table2[[#This Row],[Year]],MONTH(1 &amp; Table2[[#This Row],[Month]]),RANDBETWEEN(1,30))</f>
        <v>45782</v>
      </c>
      <c r="L799" s="2">
        <v>2025</v>
      </c>
      <c r="M799" s="2" t="s">
        <v>55</v>
      </c>
      <c r="N799" s="2">
        <v>204963</v>
      </c>
      <c r="O799" s="2">
        <v>582574</v>
      </c>
      <c r="P799" s="2" t="s">
        <v>53</v>
      </c>
    </row>
    <row r="800" spans="1:16">
      <c r="A800">
        <v>2025</v>
      </c>
      <c r="B800" t="s">
        <v>33</v>
      </c>
      <c r="C800" t="s">
        <v>21</v>
      </c>
      <c r="D800" t="s">
        <v>17</v>
      </c>
      <c r="E800">
        <v>2673</v>
      </c>
      <c r="F800">
        <v>1109</v>
      </c>
      <c r="G800">
        <v>9729</v>
      </c>
      <c r="H800">
        <v>2053</v>
      </c>
      <c r="I800" t="s">
        <v>28</v>
      </c>
      <c r="J800" s="21">
        <f ca="1">DATE(Table2[[#This Row],[Year]],MONTH(1 &amp; Table2[[#This Row],[Month]]),RANDBETWEEN(1,30))</f>
        <v>45783</v>
      </c>
      <c r="L800" s="2">
        <v>2025</v>
      </c>
      <c r="M800" s="2" t="s">
        <v>52</v>
      </c>
      <c r="N800" s="2">
        <v>268685</v>
      </c>
      <c r="O800" s="2">
        <v>442645</v>
      </c>
      <c r="P800" s="2" t="s">
        <v>50</v>
      </c>
    </row>
    <row r="801" spans="1:16">
      <c r="A801">
        <v>2025</v>
      </c>
      <c r="B801" t="s">
        <v>33</v>
      </c>
      <c r="C801" t="s">
        <v>25</v>
      </c>
      <c r="D801" t="s">
        <v>11</v>
      </c>
      <c r="E801">
        <v>1599</v>
      </c>
      <c r="F801">
        <v>6431</v>
      </c>
      <c r="G801">
        <v>4889</v>
      </c>
      <c r="H801">
        <v>1604</v>
      </c>
      <c r="I801" t="s">
        <v>12</v>
      </c>
      <c r="J801" s="21">
        <f ca="1">DATE(Table2[[#This Row],[Year]],MONTH(1 &amp; Table2[[#This Row],[Month]]),RANDBETWEEN(1,30))</f>
        <v>45799</v>
      </c>
      <c r="L801" s="2">
        <v>2021</v>
      </c>
      <c r="M801" s="2" t="s">
        <v>61</v>
      </c>
      <c r="N801" s="2">
        <v>115969</v>
      </c>
      <c r="O801" s="2">
        <v>274691</v>
      </c>
      <c r="P801" s="2" t="s">
        <v>49</v>
      </c>
    </row>
    <row r="802" spans="1:16">
      <c r="A802">
        <v>2025</v>
      </c>
      <c r="B802" t="s">
        <v>27</v>
      </c>
      <c r="C802" t="s">
        <v>23</v>
      </c>
      <c r="D802" t="s">
        <v>11</v>
      </c>
      <c r="E802">
        <v>1178</v>
      </c>
      <c r="F802">
        <v>3526</v>
      </c>
      <c r="G802">
        <v>11138</v>
      </c>
      <c r="H802">
        <v>1156</v>
      </c>
      <c r="I802" t="s">
        <v>28</v>
      </c>
      <c r="J802" s="21">
        <f ca="1">DATE(Table2[[#This Row],[Year]],MONTH(1 &amp; Table2[[#This Row],[Month]]),RANDBETWEEN(1,30))</f>
        <v>45830</v>
      </c>
      <c r="L802" s="2">
        <v>2023</v>
      </c>
      <c r="M802" s="2" t="s">
        <v>61</v>
      </c>
      <c r="N802" s="2">
        <v>279631</v>
      </c>
      <c r="O802" s="2">
        <v>524128</v>
      </c>
      <c r="P802" s="2" t="s">
        <v>53</v>
      </c>
    </row>
    <row r="803" spans="1:16">
      <c r="A803">
        <v>2025</v>
      </c>
      <c r="B803" t="s">
        <v>27</v>
      </c>
      <c r="C803" t="s">
        <v>25</v>
      </c>
      <c r="D803" t="s">
        <v>43</v>
      </c>
      <c r="E803">
        <v>3500</v>
      </c>
      <c r="F803">
        <v>9431</v>
      </c>
      <c r="G803">
        <v>10168</v>
      </c>
      <c r="H803">
        <v>2456</v>
      </c>
      <c r="I803" t="s">
        <v>28</v>
      </c>
      <c r="J803" s="21">
        <f ca="1">DATE(Table2[[#This Row],[Year]],MONTH(1 &amp; Table2[[#This Row],[Month]]),RANDBETWEEN(1,30))</f>
        <v>45826</v>
      </c>
      <c r="L803" s="2">
        <v>2025</v>
      </c>
      <c r="M803" s="2" t="s">
        <v>61</v>
      </c>
      <c r="N803" s="2">
        <v>331045</v>
      </c>
      <c r="O803" s="2">
        <v>286193</v>
      </c>
      <c r="P803" s="2" t="s">
        <v>59</v>
      </c>
    </row>
    <row r="804" spans="1:16">
      <c r="A804">
        <v>2025</v>
      </c>
      <c r="B804" t="s">
        <v>27</v>
      </c>
      <c r="C804" t="s">
        <v>23</v>
      </c>
      <c r="D804" t="s">
        <v>43</v>
      </c>
      <c r="E804">
        <v>1685</v>
      </c>
      <c r="F804">
        <v>1972</v>
      </c>
      <c r="G804">
        <v>3026</v>
      </c>
      <c r="H804">
        <v>924</v>
      </c>
      <c r="I804" t="s">
        <v>18</v>
      </c>
      <c r="J804" s="21">
        <f ca="1">DATE(Table2[[#This Row],[Year]],MONTH(1 &amp; Table2[[#This Row],[Month]]),RANDBETWEEN(1,30))</f>
        <v>45830</v>
      </c>
      <c r="L804" s="2">
        <v>2020</v>
      </c>
      <c r="M804" s="2" t="s">
        <v>48</v>
      </c>
      <c r="N804" s="2">
        <v>328363</v>
      </c>
      <c r="O804" s="2">
        <v>636197</v>
      </c>
      <c r="P804" s="2" t="s">
        <v>49</v>
      </c>
    </row>
    <row r="805" spans="1:16">
      <c r="A805">
        <v>2025</v>
      </c>
      <c r="B805" t="s">
        <v>27</v>
      </c>
      <c r="C805" t="s">
        <v>15</v>
      </c>
      <c r="D805" t="s">
        <v>37</v>
      </c>
      <c r="E805">
        <v>2568</v>
      </c>
      <c r="F805">
        <v>3458</v>
      </c>
      <c r="G805">
        <v>10926</v>
      </c>
      <c r="H805">
        <v>1163</v>
      </c>
      <c r="I805" t="s">
        <v>18</v>
      </c>
      <c r="J805" s="21">
        <f ca="1">DATE(Table2[[#This Row],[Year]],MONTH(1 &amp; Table2[[#This Row],[Month]]),RANDBETWEEN(1,30))</f>
        <v>45812</v>
      </c>
      <c r="L805" s="2">
        <v>2025</v>
      </c>
      <c r="M805" s="2" t="s">
        <v>55</v>
      </c>
      <c r="N805" s="2">
        <v>232971</v>
      </c>
      <c r="O805" s="2">
        <v>506558</v>
      </c>
      <c r="P805" s="2" t="s">
        <v>53</v>
      </c>
    </row>
    <row r="806" spans="1:16">
      <c r="A806">
        <v>2025</v>
      </c>
      <c r="B806" t="s">
        <v>27</v>
      </c>
      <c r="C806" t="s">
        <v>23</v>
      </c>
      <c r="D806" t="s">
        <v>39</v>
      </c>
      <c r="E806">
        <v>1859</v>
      </c>
      <c r="F806">
        <v>8650</v>
      </c>
      <c r="G806">
        <v>11210</v>
      </c>
      <c r="H806">
        <v>2053</v>
      </c>
      <c r="I806" t="s">
        <v>18</v>
      </c>
      <c r="J806" s="21">
        <f ca="1">DATE(Table2[[#This Row],[Year]],MONTH(1 &amp; Table2[[#This Row],[Month]]),RANDBETWEEN(1,30))</f>
        <v>45826</v>
      </c>
      <c r="L806" s="2">
        <v>2023</v>
      </c>
      <c r="M806" s="2" t="s">
        <v>56</v>
      </c>
      <c r="N806" s="2">
        <v>226213</v>
      </c>
      <c r="O806" s="2">
        <v>278602</v>
      </c>
      <c r="P806" s="2" t="s">
        <v>50</v>
      </c>
    </row>
    <row r="807" spans="1:16">
      <c r="A807">
        <v>2025</v>
      </c>
      <c r="B807" t="s">
        <v>27</v>
      </c>
      <c r="C807" t="s">
        <v>25</v>
      </c>
      <c r="D807" t="s">
        <v>23</v>
      </c>
      <c r="E807">
        <v>3302</v>
      </c>
      <c r="F807">
        <v>9433</v>
      </c>
      <c r="G807">
        <v>11551</v>
      </c>
      <c r="H807">
        <v>669</v>
      </c>
      <c r="I807" t="s">
        <v>28</v>
      </c>
      <c r="J807" s="21">
        <f ca="1">DATE(Table2[[#This Row],[Year]],MONTH(1 &amp; Table2[[#This Row],[Month]]),RANDBETWEEN(1,30))</f>
        <v>45814</v>
      </c>
      <c r="L807" s="2">
        <v>2022</v>
      </c>
      <c r="M807" s="2" t="s">
        <v>60</v>
      </c>
      <c r="N807" s="2">
        <v>142649</v>
      </c>
      <c r="O807" s="2">
        <v>681169</v>
      </c>
      <c r="P807" s="2" t="s">
        <v>59</v>
      </c>
    </row>
    <row r="808" spans="1:16">
      <c r="A808">
        <v>2025</v>
      </c>
      <c r="B808" t="s">
        <v>27</v>
      </c>
      <c r="C808" t="s">
        <v>10</v>
      </c>
      <c r="D808" t="s">
        <v>17</v>
      </c>
      <c r="E808">
        <v>2732</v>
      </c>
      <c r="F808">
        <v>5988</v>
      </c>
      <c r="G808">
        <v>9926</v>
      </c>
      <c r="H808">
        <v>1912</v>
      </c>
      <c r="I808" t="s">
        <v>18</v>
      </c>
      <c r="J808" s="21">
        <f ca="1">DATE(Table2[[#This Row],[Year]],MONTH(1 &amp; Table2[[#This Row],[Month]]),RANDBETWEEN(1,30))</f>
        <v>45829</v>
      </c>
      <c r="L808" s="2">
        <v>2020</v>
      </c>
      <c r="M808" s="2" t="s">
        <v>55</v>
      </c>
      <c r="N808" s="2">
        <v>246719</v>
      </c>
      <c r="O808" s="2">
        <v>459183</v>
      </c>
      <c r="P808" s="2" t="s">
        <v>50</v>
      </c>
    </row>
    <row r="809" spans="1:16">
      <c r="A809">
        <v>2025</v>
      </c>
      <c r="B809" t="s">
        <v>27</v>
      </c>
      <c r="C809" t="s">
        <v>15</v>
      </c>
      <c r="D809" t="s">
        <v>22</v>
      </c>
      <c r="E809">
        <v>3266</v>
      </c>
      <c r="F809">
        <v>6985</v>
      </c>
      <c r="G809">
        <v>4531</v>
      </c>
      <c r="H809">
        <v>2638</v>
      </c>
      <c r="I809" t="s">
        <v>12</v>
      </c>
      <c r="J809" s="21">
        <f ca="1">DATE(Table2[[#This Row],[Year]],MONTH(1 &amp; Table2[[#This Row],[Month]]),RANDBETWEEN(1,30))</f>
        <v>45816</v>
      </c>
      <c r="L809" s="2">
        <v>2025</v>
      </c>
      <c r="M809" s="2" t="s">
        <v>57</v>
      </c>
      <c r="N809" s="2">
        <v>139798</v>
      </c>
      <c r="O809" s="2">
        <v>236449</v>
      </c>
      <c r="P809" s="2" t="s">
        <v>53</v>
      </c>
    </row>
    <row r="810" spans="1:16">
      <c r="A810">
        <v>2025</v>
      </c>
      <c r="B810" t="s">
        <v>27</v>
      </c>
      <c r="C810" t="s">
        <v>23</v>
      </c>
      <c r="D810" t="s">
        <v>11</v>
      </c>
      <c r="E810">
        <v>3935</v>
      </c>
      <c r="F810">
        <v>8725</v>
      </c>
      <c r="G810">
        <v>2091</v>
      </c>
      <c r="H810">
        <v>1344</v>
      </c>
      <c r="I810" t="s">
        <v>28</v>
      </c>
      <c r="J810" s="21">
        <f ca="1">DATE(Table2[[#This Row],[Year]],MONTH(1 &amp; Table2[[#This Row],[Month]]),RANDBETWEEN(1,30))</f>
        <v>45810</v>
      </c>
      <c r="L810" s="2">
        <v>2020</v>
      </c>
      <c r="M810" s="2" t="s">
        <v>55</v>
      </c>
      <c r="N810" s="2">
        <v>406638</v>
      </c>
      <c r="O810" s="2">
        <v>513416</v>
      </c>
      <c r="P810" s="2" t="s">
        <v>49</v>
      </c>
    </row>
    <row r="811" spans="1:16">
      <c r="A811">
        <v>2025</v>
      </c>
      <c r="B811" t="s">
        <v>27</v>
      </c>
      <c r="C811" t="s">
        <v>29</v>
      </c>
      <c r="D811" t="s">
        <v>23</v>
      </c>
      <c r="E811">
        <v>3923</v>
      </c>
      <c r="F811">
        <v>6343</v>
      </c>
      <c r="G811">
        <v>10705</v>
      </c>
      <c r="H811">
        <v>2241</v>
      </c>
      <c r="I811" t="s">
        <v>18</v>
      </c>
      <c r="J811" s="21">
        <f ca="1">DATE(Table2[[#This Row],[Year]],MONTH(1 &amp; Table2[[#This Row],[Month]]),RANDBETWEEN(1,30))</f>
        <v>45813</v>
      </c>
      <c r="L811" s="2">
        <v>2025</v>
      </c>
      <c r="M811" s="2" t="s">
        <v>51</v>
      </c>
      <c r="N811" s="2">
        <v>486510</v>
      </c>
      <c r="O811" s="2">
        <v>326599</v>
      </c>
      <c r="P811" s="2" t="s">
        <v>53</v>
      </c>
    </row>
    <row r="812" spans="1:16">
      <c r="A812">
        <v>2025</v>
      </c>
      <c r="B812" t="s">
        <v>27</v>
      </c>
      <c r="C812" t="s">
        <v>21</v>
      </c>
      <c r="D812" t="s">
        <v>26</v>
      </c>
      <c r="E812">
        <v>1445</v>
      </c>
      <c r="F812">
        <v>7392</v>
      </c>
      <c r="G812">
        <v>3133</v>
      </c>
      <c r="H812">
        <v>436</v>
      </c>
      <c r="I812" t="s">
        <v>28</v>
      </c>
      <c r="J812" s="21">
        <f ca="1">DATE(Table2[[#This Row],[Year]],MONTH(1 &amp; Table2[[#This Row],[Month]]),RANDBETWEEN(1,30))</f>
        <v>45830</v>
      </c>
      <c r="L812" s="2">
        <v>2024</v>
      </c>
      <c r="M812" s="2" t="s">
        <v>56</v>
      </c>
      <c r="N812" s="2">
        <v>488030</v>
      </c>
      <c r="O812" s="2">
        <v>601847</v>
      </c>
      <c r="P812" s="2" t="s">
        <v>53</v>
      </c>
    </row>
    <row r="813" spans="1:16">
      <c r="A813">
        <v>2025</v>
      </c>
      <c r="B813" t="s">
        <v>27</v>
      </c>
      <c r="C813" t="s">
        <v>21</v>
      </c>
      <c r="D813" t="s">
        <v>22</v>
      </c>
      <c r="E813">
        <v>2749</v>
      </c>
      <c r="F813">
        <v>1639</v>
      </c>
      <c r="G813">
        <v>6289</v>
      </c>
      <c r="H813">
        <v>577</v>
      </c>
      <c r="I813" t="s">
        <v>18</v>
      </c>
      <c r="J813" s="21">
        <f ca="1">DATE(Table2[[#This Row],[Year]],MONTH(1 &amp; Table2[[#This Row],[Month]]),RANDBETWEEN(1,30))</f>
        <v>45835</v>
      </c>
      <c r="L813" s="2">
        <v>2020</v>
      </c>
      <c r="M813" s="2" t="s">
        <v>52</v>
      </c>
      <c r="N813" s="2">
        <v>446028</v>
      </c>
      <c r="O813" s="2">
        <v>608911</v>
      </c>
      <c r="P813" s="2" t="s">
        <v>53</v>
      </c>
    </row>
    <row r="814" spans="1:16">
      <c r="A814">
        <v>2025</v>
      </c>
      <c r="B814" t="s">
        <v>27</v>
      </c>
      <c r="C814" t="s">
        <v>23</v>
      </c>
      <c r="D814" t="s">
        <v>23</v>
      </c>
      <c r="E814">
        <v>1312</v>
      </c>
      <c r="F814">
        <v>5800</v>
      </c>
      <c r="G814">
        <v>10149</v>
      </c>
      <c r="H814">
        <v>1885</v>
      </c>
      <c r="I814" t="s">
        <v>18</v>
      </c>
      <c r="J814" s="21">
        <f ca="1">DATE(Table2[[#This Row],[Year]],MONTH(1 &amp; Table2[[#This Row],[Month]]),RANDBETWEEN(1,30))</f>
        <v>45824</v>
      </c>
      <c r="L814" s="2">
        <v>2023</v>
      </c>
      <c r="M814" s="2" t="s">
        <v>56</v>
      </c>
      <c r="N814" s="2">
        <v>340317</v>
      </c>
      <c r="O814" s="2">
        <v>689474</v>
      </c>
      <c r="P814" s="2" t="s">
        <v>49</v>
      </c>
    </row>
    <row r="815" spans="1:16">
      <c r="A815">
        <v>2025</v>
      </c>
      <c r="B815" t="s">
        <v>27</v>
      </c>
      <c r="C815" t="s">
        <v>21</v>
      </c>
      <c r="D815" t="s">
        <v>42</v>
      </c>
      <c r="E815">
        <v>735</v>
      </c>
      <c r="F815">
        <v>3689</v>
      </c>
      <c r="G815">
        <v>9804</v>
      </c>
      <c r="H815">
        <v>2044</v>
      </c>
      <c r="I815" t="s">
        <v>12</v>
      </c>
      <c r="J815" s="21">
        <f ca="1">DATE(Table2[[#This Row],[Year]],MONTH(1 &amp; Table2[[#This Row],[Month]]),RANDBETWEEN(1,30))</f>
        <v>45823</v>
      </c>
      <c r="L815" s="2">
        <v>2024</v>
      </c>
      <c r="M815" s="2" t="s">
        <v>54</v>
      </c>
      <c r="N815" s="2">
        <v>380346</v>
      </c>
      <c r="O815" s="2">
        <v>450935</v>
      </c>
      <c r="P815" s="2" t="s">
        <v>59</v>
      </c>
    </row>
    <row r="816" spans="1:16">
      <c r="A816">
        <v>2025</v>
      </c>
      <c r="B816" t="s">
        <v>27</v>
      </c>
      <c r="C816" t="s">
        <v>23</v>
      </c>
      <c r="D816" t="s">
        <v>43</v>
      </c>
      <c r="E816">
        <v>181</v>
      </c>
      <c r="F816">
        <v>3343</v>
      </c>
      <c r="G816">
        <v>6503</v>
      </c>
      <c r="H816">
        <v>434</v>
      </c>
      <c r="I816" t="s">
        <v>28</v>
      </c>
      <c r="J816" s="21">
        <f ca="1">DATE(Table2[[#This Row],[Year]],MONTH(1 &amp; Table2[[#This Row],[Month]]),RANDBETWEEN(1,30))</f>
        <v>45824</v>
      </c>
      <c r="L816" s="2">
        <v>2021</v>
      </c>
      <c r="M816" s="2" t="s">
        <v>48</v>
      </c>
      <c r="N816" s="2">
        <v>214082</v>
      </c>
      <c r="O816" s="2">
        <v>427478</v>
      </c>
      <c r="P816" s="2" t="s">
        <v>50</v>
      </c>
    </row>
    <row r="817" spans="1:16">
      <c r="A817">
        <v>2025</v>
      </c>
      <c r="B817" t="s">
        <v>27</v>
      </c>
      <c r="C817" t="s">
        <v>23</v>
      </c>
      <c r="D817" t="s">
        <v>23</v>
      </c>
      <c r="E817">
        <v>1964</v>
      </c>
      <c r="F817">
        <v>6943</v>
      </c>
      <c r="G817">
        <v>9731</v>
      </c>
      <c r="H817">
        <v>1800</v>
      </c>
      <c r="I817" t="s">
        <v>28</v>
      </c>
      <c r="J817" s="21">
        <f ca="1">DATE(Table2[[#This Row],[Year]],MONTH(1 &amp; Table2[[#This Row],[Month]]),RANDBETWEEN(1,30))</f>
        <v>45835</v>
      </c>
      <c r="L817" s="2">
        <v>2020</v>
      </c>
      <c r="M817" s="2" t="s">
        <v>57</v>
      </c>
      <c r="N817" s="2">
        <v>352308</v>
      </c>
      <c r="O817" s="2">
        <v>576738</v>
      </c>
      <c r="P817" s="2" t="s">
        <v>50</v>
      </c>
    </row>
    <row r="818" spans="1:16">
      <c r="A818">
        <v>2025</v>
      </c>
      <c r="B818" t="s">
        <v>27</v>
      </c>
      <c r="C818" t="s">
        <v>23</v>
      </c>
      <c r="D818" t="s">
        <v>20</v>
      </c>
      <c r="E818">
        <v>2052</v>
      </c>
      <c r="F818">
        <v>6147</v>
      </c>
      <c r="G818">
        <v>6366</v>
      </c>
      <c r="H818">
        <v>1580</v>
      </c>
      <c r="I818" t="s">
        <v>12</v>
      </c>
      <c r="J818" s="21">
        <f ca="1">DATE(Table2[[#This Row],[Year]],MONTH(1 &amp; Table2[[#This Row],[Month]]),RANDBETWEEN(1,30))</f>
        <v>45810</v>
      </c>
      <c r="L818" s="2">
        <v>2021</v>
      </c>
      <c r="M818" s="2" t="s">
        <v>58</v>
      </c>
      <c r="N818" s="2">
        <v>282260</v>
      </c>
      <c r="O818" s="2">
        <v>266235</v>
      </c>
      <c r="P818" s="2" t="s">
        <v>49</v>
      </c>
    </row>
    <row r="819" spans="1:16">
      <c r="A819">
        <v>2025</v>
      </c>
      <c r="B819" t="s">
        <v>40</v>
      </c>
      <c r="C819" t="s">
        <v>10</v>
      </c>
      <c r="D819" t="s">
        <v>30</v>
      </c>
      <c r="E819">
        <v>1897</v>
      </c>
      <c r="F819">
        <v>9250</v>
      </c>
      <c r="G819">
        <v>10550</v>
      </c>
      <c r="H819">
        <v>2110</v>
      </c>
      <c r="I819" t="s">
        <v>12</v>
      </c>
      <c r="J819" s="21">
        <f ca="1">DATE(Table2[[#This Row],[Year]],MONTH(1 &amp; Table2[[#This Row],[Month]]),RANDBETWEEN(1,30))</f>
        <v>45865</v>
      </c>
      <c r="L819" s="2">
        <v>2022</v>
      </c>
      <c r="M819" s="2" t="s">
        <v>52</v>
      </c>
      <c r="N819" s="2">
        <v>292807</v>
      </c>
      <c r="O819" s="2">
        <v>473458</v>
      </c>
      <c r="P819" s="2" t="s">
        <v>53</v>
      </c>
    </row>
    <row r="820" spans="1:16">
      <c r="A820">
        <v>2025</v>
      </c>
      <c r="B820" t="s">
        <v>40</v>
      </c>
      <c r="C820" t="s">
        <v>25</v>
      </c>
      <c r="D820" t="s">
        <v>17</v>
      </c>
      <c r="E820">
        <v>1525</v>
      </c>
      <c r="F820">
        <v>3149</v>
      </c>
      <c r="G820">
        <v>10390</v>
      </c>
      <c r="H820">
        <v>671</v>
      </c>
      <c r="I820" t="s">
        <v>18</v>
      </c>
      <c r="J820" s="21">
        <f ca="1">DATE(Table2[[#This Row],[Year]],MONTH(1 &amp; Table2[[#This Row],[Month]]),RANDBETWEEN(1,30))</f>
        <v>45843</v>
      </c>
      <c r="L820" s="2">
        <v>2021</v>
      </c>
      <c r="M820" s="2" t="s">
        <v>60</v>
      </c>
      <c r="N820" s="2">
        <v>403111</v>
      </c>
      <c r="O820" s="2">
        <v>473124</v>
      </c>
      <c r="P820" s="2" t="s">
        <v>59</v>
      </c>
    </row>
    <row r="821" spans="1:16">
      <c r="A821">
        <v>2025</v>
      </c>
      <c r="B821" t="s">
        <v>40</v>
      </c>
      <c r="C821" t="s">
        <v>10</v>
      </c>
      <c r="D821" t="s">
        <v>42</v>
      </c>
      <c r="E821">
        <v>3118</v>
      </c>
      <c r="F821">
        <v>4847</v>
      </c>
      <c r="G821">
        <v>8323</v>
      </c>
      <c r="H821">
        <v>537</v>
      </c>
      <c r="I821" t="s">
        <v>18</v>
      </c>
      <c r="J821" s="21">
        <f ca="1">DATE(Table2[[#This Row],[Year]],MONTH(1 &amp; Table2[[#This Row],[Month]]),RANDBETWEEN(1,30))</f>
        <v>45863</v>
      </c>
      <c r="L821" s="2">
        <v>2020</v>
      </c>
      <c r="M821" s="2" t="s">
        <v>56</v>
      </c>
      <c r="N821" s="2">
        <v>212767</v>
      </c>
      <c r="O821" s="2">
        <v>244737</v>
      </c>
      <c r="P821" s="2" t="s">
        <v>50</v>
      </c>
    </row>
    <row r="822" spans="1:16">
      <c r="A822">
        <v>2025</v>
      </c>
      <c r="B822" t="s">
        <v>40</v>
      </c>
      <c r="C822" t="s">
        <v>21</v>
      </c>
      <c r="D822" t="s">
        <v>16</v>
      </c>
      <c r="E822">
        <v>204</v>
      </c>
      <c r="F822">
        <v>3801</v>
      </c>
      <c r="G822">
        <v>5212</v>
      </c>
      <c r="H822">
        <v>2898</v>
      </c>
      <c r="I822" t="s">
        <v>18</v>
      </c>
      <c r="J822" s="21">
        <f ca="1">DATE(Table2[[#This Row],[Year]],MONTH(1 &amp; Table2[[#This Row],[Month]]),RANDBETWEEN(1,30))</f>
        <v>45864</v>
      </c>
      <c r="L822" s="2">
        <v>2021</v>
      </c>
      <c r="M822" s="2" t="s">
        <v>55</v>
      </c>
      <c r="N822" s="2">
        <v>227216</v>
      </c>
      <c r="O822" s="2">
        <v>408992</v>
      </c>
      <c r="P822" s="2" t="s">
        <v>50</v>
      </c>
    </row>
    <row r="823" spans="1:16">
      <c r="A823">
        <v>2025</v>
      </c>
      <c r="B823" t="s">
        <v>40</v>
      </c>
      <c r="C823" t="s">
        <v>25</v>
      </c>
      <c r="D823" t="s">
        <v>30</v>
      </c>
      <c r="E823">
        <v>1582</v>
      </c>
      <c r="F823">
        <v>5124</v>
      </c>
      <c r="G823">
        <v>4071</v>
      </c>
      <c r="H823">
        <v>230</v>
      </c>
      <c r="I823" t="s">
        <v>12</v>
      </c>
      <c r="J823" s="21">
        <f ca="1">DATE(Table2[[#This Row],[Year]],MONTH(1 &amp; Table2[[#This Row],[Month]]),RANDBETWEEN(1,30))</f>
        <v>45852</v>
      </c>
      <c r="L823" s="2">
        <v>2020</v>
      </c>
      <c r="M823" s="2" t="s">
        <v>57</v>
      </c>
      <c r="N823" s="2">
        <v>469857</v>
      </c>
      <c r="O823" s="2">
        <v>626642</v>
      </c>
      <c r="P823" s="2" t="s">
        <v>50</v>
      </c>
    </row>
    <row r="824" spans="1:16">
      <c r="A824">
        <v>2025</v>
      </c>
      <c r="B824" t="s">
        <v>40</v>
      </c>
      <c r="C824" t="s">
        <v>10</v>
      </c>
      <c r="D824" t="s">
        <v>20</v>
      </c>
      <c r="E824">
        <v>2580</v>
      </c>
      <c r="F824">
        <v>4455</v>
      </c>
      <c r="G824">
        <v>4342</v>
      </c>
      <c r="H824">
        <v>245</v>
      </c>
      <c r="I824" t="s">
        <v>18</v>
      </c>
      <c r="J824" s="21">
        <f ca="1">DATE(Table2[[#This Row],[Year]],MONTH(1 &amp; Table2[[#This Row],[Month]]),RANDBETWEEN(1,30))</f>
        <v>45849</v>
      </c>
      <c r="L824" s="2">
        <v>2020</v>
      </c>
      <c r="M824" s="2" t="s">
        <v>51</v>
      </c>
      <c r="N824" s="2">
        <v>122490</v>
      </c>
      <c r="O824" s="2">
        <v>628077</v>
      </c>
      <c r="P824" s="2" t="s">
        <v>53</v>
      </c>
    </row>
    <row r="825" spans="1:16">
      <c r="A825">
        <v>2025</v>
      </c>
      <c r="B825" t="s">
        <v>40</v>
      </c>
      <c r="C825" t="s">
        <v>29</v>
      </c>
      <c r="D825" t="s">
        <v>37</v>
      </c>
      <c r="E825">
        <v>3724</v>
      </c>
      <c r="F825">
        <v>3050</v>
      </c>
      <c r="G825">
        <v>4187</v>
      </c>
      <c r="H825">
        <v>2017</v>
      </c>
      <c r="I825" t="s">
        <v>18</v>
      </c>
      <c r="J825" s="21">
        <f ca="1">DATE(Table2[[#This Row],[Year]],MONTH(1 &amp; Table2[[#This Row],[Month]]),RANDBETWEEN(1,30))</f>
        <v>45861</v>
      </c>
      <c r="L825" s="2">
        <v>2024</v>
      </c>
      <c r="M825" s="2" t="s">
        <v>48</v>
      </c>
      <c r="N825" s="2">
        <v>294254</v>
      </c>
      <c r="O825" s="2">
        <v>249619</v>
      </c>
      <c r="P825" s="2" t="s">
        <v>53</v>
      </c>
    </row>
    <row r="826" spans="1:16">
      <c r="A826">
        <v>2025</v>
      </c>
      <c r="B826" t="s">
        <v>40</v>
      </c>
      <c r="C826" t="s">
        <v>10</v>
      </c>
      <c r="D826" t="s">
        <v>30</v>
      </c>
      <c r="E826">
        <v>1643</v>
      </c>
      <c r="F826">
        <v>6325</v>
      </c>
      <c r="G826">
        <v>11271</v>
      </c>
      <c r="H826">
        <v>553</v>
      </c>
      <c r="I826" t="s">
        <v>28</v>
      </c>
      <c r="J826" s="21">
        <f ca="1">DATE(Table2[[#This Row],[Year]],MONTH(1 &amp; Table2[[#This Row],[Month]]),RANDBETWEEN(1,30))</f>
        <v>45844</v>
      </c>
      <c r="L826" s="2">
        <v>2023</v>
      </c>
      <c r="M826" s="2" t="s">
        <v>57</v>
      </c>
      <c r="N826" s="2">
        <v>465120</v>
      </c>
      <c r="O826" s="2">
        <v>245360</v>
      </c>
      <c r="P826" s="2" t="s">
        <v>53</v>
      </c>
    </row>
    <row r="827" spans="1:16">
      <c r="A827">
        <v>2025</v>
      </c>
      <c r="B827" t="s">
        <v>40</v>
      </c>
      <c r="C827" t="s">
        <v>21</v>
      </c>
      <c r="D827" t="s">
        <v>23</v>
      </c>
      <c r="E827">
        <v>1427</v>
      </c>
      <c r="F827">
        <v>8656</v>
      </c>
      <c r="G827">
        <v>4653</v>
      </c>
      <c r="H827">
        <v>1688</v>
      </c>
      <c r="I827" t="s">
        <v>18</v>
      </c>
      <c r="J827" s="21">
        <f ca="1">DATE(Table2[[#This Row],[Year]],MONTH(1 &amp; Table2[[#This Row],[Month]]),RANDBETWEEN(1,30))</f>
        <v>45856</v>
      </c>
      <c r="L827" s="2">
        <v>2021</v>
      </c>
      <c r="M827" s="2" t="s">
        <v>57</v>
      </c>
      <c r="N827" s="2">
        <v>344145</v>
      </c>
      <c r="O827" s="2">
        <v>331348</v>
      </c>
      <c r="P827" s="2" t="s">
        <v>53</v>
      </c>
    </row>
    <row r="828" spans="1:16">
      <c r="A828">
        <v>2025</v>
      </c>
      <c r="B828" t="s">
        <v>40</v>
      </c>
      <c r="C828" t="s">
        <v>23</v>
      </c>
      <c r="D828" t="s">
        <v>30</v>
      </c>
      <c r="E828">
        <v>614</v>
      </c>
      <c r="F828">
        <v>8136</v>
      </c>
      <c r="G828">
        <v>10653</v>
      </c>
      <c r="H828">
        <v>2509</v>
      </c>
      <c r="I828" t="s">
        <v>18</v>
      </c>
      <c r="J828" s="21">
        <f ca="1">DATE(Table2[[#This Row],[Year]],MONTH(1 &amp; Table2[[#This Row],[Month]]),RANDBETWEEN(1,30))</f>
        <v>45846</v>
      </c>
      <c r="L828" s="2">
        <v>2021</v>
      </c>
      <c r="M828" s="2" t="s">
        <v>51</v>
      </c>
      <c r="N828" s="2">
        <v>318563</v>
      </c>
      <c r="O828" s="2">
        <v>637383</v>
      </c>
      <c r="P828" s="2" t="s">
        <v>53</v>
      </c>
    </row>
    <row r="829" spans="1:16">
      <c r="A829">
        <v>2025</v>
      </c>
      <c r="B829" t="s">
        <v>40</v>
      </c>
      <c r="C829" t="s">
        <v>21</v>
      </c>
      <c r="D829" t="s">
        <v>11</v>
      </c>
      <c r="E829">
        <v>3514</v>
      </c>
      <c r="F829">
        <v>5133</v>
      </c>
      <c r="G829">
        <v>6227</v>
      </c>
      <c r="H829">
        <v>2053</v>
      </c>
      <c r="I829" t="s">
        <v>12</v>
      </c>
      <c r="J829" s="21">
        <f ca="1">DATE(Table2[[#This Row],[Year]],MONTH(1 &amp; Table2[[#This Row],[Month]]),RANDBETWEEN(1,30))</f>
        <v>45851</v>
      </c>
      <c r="L829" s="2">
        <v>2023</v>
      </c>
      <c r="M829" s="2" t="s">
        <v>60</v>
      </c>
      <c r="N829" s="2">
        <v>199898</v>
      </c>
      <c r="O829" s="2">
        <v>264451</v>
      </c>
      <c r="P829" s="2" t="s">
        <v>50</v>
      </c>
    </row>
    <row r="830" spans="1:16">
      <c r="A830">
        <v>2025</v>
      </c>
      <c r="B830" t="s">
        <v>40</v>
      </c>
      <c r="C830" t="s">
        <v>21</v>
      </c>
      <c r="D830" t="s">
        <v>16</v>
      </c>
      <c r="E830">
        <v>2743</v>
      </c>
      <c r="F830">
        <v>6934</v>
      </c>
      <c r="G830">
        <v>5373</v>
      </c>
      <c r="H830">
        <v>1339</v>
      </c>
      <c r="I830" t="s">
        <v>12</v>
      </c>
      <c r="J830" s="21">
        <f ca="1">DATE(Table2[[#This Row],[Year]],MONTH(1 &amp; Table2[[#This Row],[Month]]),RANDBETWEEN(1,30))</f>
        <v>45845</v>
      </c>
      <c r="L830" s="2">
        <v>2025</v>
      </c>
      <c r="M830" s="2" t="s">
        <v>57</v>
      </c>
      <c r="N830" s="2">
        <v>237310</v>
      </c>
      <c r="O830" s="2">
        <v>559998</v>
      </c>
      <c r="P830" s="2" t="s">
        <v>59</v>
      </c>
    </row>
    <row r="831" spans="1:16">
      <c r="A831">
        <v>2025</v>
      </c>
      <c r="B831" t="s">
        <v>31</v>
      </c>
      <c r="C831" t="s">
        <v>29</v>
      </c>
      <c r="D831" t="s">
        <v>42</v>
      </c>
      <c r="E831">
        <v>2448</v>
      </c>
      <c r="F831">
        <v>2186</v>
      </c>
      <c r="G831">
        <v>7006</v>
      </c>
      <c r="H831">
        <v>270</v>
      </c>
      <c r="I831" t="s">
        <v>12</v>
      </c>
      <c r="J831" s="21">
        <f ca="1">DATE(Table2[[#This Row],[Year]],MONTH(1 &amp; Table2[[#This Row],[Month]]),RANDBETWEEN(1,30))</f>
        <v>45870</v>
      </c>
      <c r="L831" s="2">
        <v>2021</v>
      </c>
      <c r="M831" s="2" t="s">
        <v>54</v>
      </c>
      <c r="N831" s="2">
        <v>440819</v>
      </c>
      <c r="O831" s="2">
        <v>250583</v>
      </c>
      <c r="P831" s="2" t="s">
        <v>50</v>
      </c>
    </row>
    <row r="832" spans="1:16">
      <c r="A832">
        <v>2025</v>
      </c>
      <c r="B832" t="s">
        <v>31</v>
      </c>
      <c r="C832" t="s">
        <v>15</v>
      </c>
      <c r="D832" t="s">
        <v>22</v>
      </c>
      <c r="E832">
        <v>3418</v>
      </c>
      <c r="F832">
        <v>9155</v>
      </c>
      <c r="G832">
        <v>2122</v>
      </c>
      <c r="H832">
        <v>1064</v>
      </c>
      <c r="I832" t="s">
        <v>12</v>
      </c>
      <c r="J832" s="21">
        <f ca="1">DATE(Table2[[#This Row],[Year]],MONTH(1 &amp; Table2[[#This Row],[Month]]),RANDBETWEEN(1,30))</f>
        <v>45899</v>
      </c>
      <c r="L832" s="2">
        <v>2025</v>
      </c>
      <c r="M832" s="2" t="s">
        <v>60</v>
      </c>
      <c r="N832" s="2">
        <v>323687</v>
      </c>
      <c r="O832" s="2">
        <v>511569</v>
      </c>
      <c r="P832" s="2" t="s">
        <v>53</v>
      </c>
    </row>
    <row r="833" spans="1:16">
      <c r="A833">
        <v>2025</v>
      </c>
      <c r="B833" t="s">
        <v>31</v>
      </c>
      <c r="C833" t="s">
        <v>15</v>
      </c>
      <c r="D833" t="s">
        <v>43</v>
      </c>
      <c r="E833">
        <v>264</v>
      </c>
      <c r="F833">
        <v>2176</v>
      </c>
      <c r="G833">
        <v>9609</v>
      </c>
      <c r="H833">
        <v>1324</v>
      </c>
      <c r="I833" t="s">
        <v>18</v>
      </c>
      <c r="J833" s="21">
        <f ca="1">DATE(Table2[[#This Row],[Year]],MONTH(1 &amp; Table2[[#This Row],[Month]]),RANDBETWEEN(1,30))</f>
        <v>45880</v>
      </c>
      <c r="L833" s="2">
        <v>2024</v>
      </c>
      <c r="M833" s="2" t="s">
        <v>61</v>
      </c>
      <c r="N833" s="2">
        <v>305897</v>
      </c>
      <c r="O833" s="2">
        <v>378034</v>
      </c>
      <c r="P833" s="2" t="s">
        <v>49</v>
      </c>
    </row>
    <row r="834" spans="1:16">
      <c r="A834">
        <v>2025</v>
      </c>
      <c r="B834" t="s">
        <v>31</v>
      </c>
      <c r="C834" t="s">
        <v>25</v>
      </c>
      <c r="D834" t="s">
        <v>16</v>
      </c>
      <c r="E834">
        <v>2441</v>
      </c>
      <c r="F834">
        <v>3246</v>
      </c>
      <c r="G834">
        <v>6166</v>
      </c>
      <c r="H834">
        <v>2954</v>
      </c>
      <c r="I834" t="s">
        <v>28</v>
      </c>
      <c r="J834" s="21">
        <f ca="1">DATE(Table2[[#This Row],[Year]],MONTH(1 &amp; Table2[[#This Row],[Month]]),RANDBETWEEN(1,30))</f>
        <v>45879</v>
      </c>
      <c r="L834" s="2">
        <v>2025</v>
      </c>
      <c r="M834" s="2" t="s">
        <v>51</v>
      </c>
      <c r="N834" s="2">
        <v>139832</v>
      </c>
      <c r="O834" s="2">
        <v>594457</v>
      </c>
      <c r="P834" s="2" t="s">
        <v>50</v>
      </c>
    </row>
    <row r="835" spans="1:16">
      <c r="A835">
        <v>2025</v>
      </c>
      <c r="B835" t="s">
        <v>31</v>
      </c>
      <c r="C835" t="s">
        <v>23</v>
      </c>
      <c r="D835" t="s">
        <v>20</v>
      </c>
      <c r="E835">
        <v>1256</v>
      </c>
      <c r="F835">
        <v>8258</v>
      </c>
      <c r="G835">
        <v>5356</v>
      </c>
      <c r="H835">
        <v>1246</v>
      </c>
      <c r="I835" t="s">
        <v>18</v>
      </c>
      <c r="J835" s="21">
        <f ca="1">DATE(Table2[[#This Row],[Year]],MONTH(1 &amp; Table2[[#This Row],[Month]]),RANDBETWEEN(1,30))</f>
        <v>45890</v>
      </c>
      <c r="L835" s="2">
        <v>2022</v>
      </c>
      <c r="M835" s="2" t="s">
        <v>54</v>
      </c>
      <c r="N835" s="2">
        <v>106411</v>
      </c>
      <c r="O835" s="2">
        <v>316845</v>
      </c>
      <c r="P835" s="2" t="s">
        <v>59</v>
      </c>
    </row>
    <row r="836" spans="1:16">
      <c r="A836">
        <v>2025</v>
      </c>
      <c r="B836" t="s">
        <v>31</v>
      </c>
      <c r="C836" t="s">
        <v>21</v>
      </c>
      <c r="D836" t="s">
        <v>42</v>
      </c>
      <c r="E836">
        <v>3803</v>
      </c>
      <c r="F836">
        <v>1105</v>
      </c>
      <c r="G836">
        <v>4043</v>
      </c>
      <c r="H836">
        <v>1640</v>
      </c>
      <c r="I836" t="s">
        <v>12</v>
      </c>
      <c r="J836" s="21">
        <f ca="1">DATE(Table2[[#This Row],[Year]],MONTH(1 &amp; Table2[[#This Row],[Month]]),RANDBETWEEN(1,30))</f>
        <v>45871</v>
      </c>
      <c r="L836" s="2">
        <v>2023</v>
      </c>
      <c r="M836" s="2" t="s">
        <v>57</v>
      </c>
      <c r="N836" s="2">
        <v>485474</v>
      </c>
      <c r="O836" s="2">
        <v>519601</v>
      </c>
      <c r="P836" s="2" t="s">
        <v>50</v>
      </c>
    </row>
    <row r="837" spans="1:16">
      <c r="A837">
        <v>2025</v>
      </c>
      <c r="B837" t="s">
        <v>31</v>
      </c>
      <c r="C837" t="s">
        <v>29</v>
      </c>
      <c r="D837" t="s">
        <v>42</v>
      </c>
      <c r="E837">
        <v>1973</v>
      </c>
      <c r="F837">
        <v>3839</v>
      </c>
      <c r="G837">
        <v>4874</v>
      </c>
      <c r="H837">
        <v>1240</v>
      </c>
      <c r="I837" t="s">
        <v>12</v>
      </c>
      <c r="J837" s="21">
        <f ca="1">DATE(Table2[[#This Row],[Year]],MONTH(1 &amp; Table2[[#This Row],[Month]]),RANDBETWEEN(1,30))</f>
        <v>45890</v>
      </c>
      <c r="L837" s="2">
        <v>2023</v>
      </c>
      <c r="M837" s="2" t="s">
        <v>56</v>
      </c>
      <c r="N837" s="2">
        <v>250794</v>
      </c>
      <c r="O837" s="2">
        <v>317841</v>
      </c>
      <c r="P837" s="2" t="s">
        <v>53</v>
      </c>
    </row>
    <row r="838" spans="1:16">
      <c r="A838">
        <v>2025</v>
      </c>
      <c r="B838" t="s">
        <v>31</v>
      </c>
      <c r="C838" t="s">
        <v>15</v>
      </c>
      <c r="D838" t="s">
        <v>34</v>
      </c>
      <c r="E838">
        <v>2390</v>
      </c>
      <c r="F838">
        <v>6974</v>
      </c>
      <c r="G838">
        <v>5029</v>
      </c>
      <c r="H838">
        <v>1537</v>
      </c>
      <c r="I838" t="s">
        <v>18</v>
      </c>
      <c r="J838" s="21">
        <f ca="1">DATE(Table2[[#This Row],[Year]],MONTH(1 &amp; Table2[[#This Row],[Month]]),RANDBETWEEN(1,30))</f>
        <v>45872</v>
      </c>
      <c r="L838" s="2">
        <v>2025</v>
      </c>
      <c r="M838" s="2" t="s">
        <v>48</v>
      </c>
      <c r="N838" s="2">
        <v>341285</v>
      </c>
      <c r="O838" s="2">
        <v>556830</v>
      </c>
      <c r="P838" s="2" t="s">
        <v>53</v>
      </c>
    </row>
    <row r="839" spans="1:16">
      <c r="A839">
        <v>2025</v>
      </c>
      <c r="B839" t="s">
        <v>31</v>
      </c>
      <c r="C839" t="s">
        <v>23</v>
      </c>
      <c r="D839" t="s">
        <v>30</v>
      </c>
      <c r="E839">
        <v>181</v>
      </c>
      <c r="F839">
        <v>3675</v>
      </c>
      <c r="G839">
        <v>11515</v>
      </c>
      <c r="H839">
        <v>2266</v>
      </c>
      <c r="I839" t="s">
        <v>28</v>
      </c>
      <c r="J839" s="21">
        <f ca="1">DATE(Table2[[#This Row],[Year]],MONTH(1 &amp; Table2[[#This Row],[Month]]),RANDBETWEEN(1,30))</f>
        <v>45873</v>
      </c>
      <c r="L839" s="2">
        <v>2022</v>
      </c>
      <c r="M839" s="2" t="s">
        <v>57</v>
      </c>
      <c r="N839" s="2">
        <v>131886</v>
      </c>
      <c r="O839" s="2">
        <v>636839</v>
      </c>
      <c r="P839" s="2" t="s">
        <v>49</v>
      </c>
    </row>
    <row r="840" spans="1:16">
      <c r="A840">
        <v>2025</v>
      </c>
      <c r="B840" t="s">
        <v>31</v>
      </c>
      <c r="C840" t="s">
        <v>10</v>
      </c>
      <c r="D840" t="s">
        <v>43</v>
      </c>
      <c r="E840">
        <v>3410</v>
      </c>
      <c r="F840">
        <v>6196</v>
      </c>
      <c r="G840">
        <v>10254</v>
      </c>
      <c r="H840">
        <v>602</v>
      </c>
      <c r="I840" t="s">
        <v>12</v>
      </c>
      <c r="J840" s="21">
        <f ca="1">DATE(Table2[[#This Row],[Year]],MONTH(1 &amp; Table2[[#This Row],[Month]]),RANDBETWEEN(1,30))</f>
        <v>45870</v>
      </c>
      <c r="L840" s="2">
        <v>2023</v>
      </c>
      <c r="M840" s="2" t="s">
        <v>54</v>
      </c>
      <c r="N840" s="2">
        <v>373246</v>
      </c>
      <c r="O840" s="2">
        <v>263401</v>
      </c>
      <c r="P840" s="2" t="s">
        <v>49</v>
      </c>
    </row>
    <row r="841" spans="1:16">
      <c r="A841">
        <v>2025</v>
      </c>
      <c r="B841" t="s">
        <v>31</v>
      </c>
      <c r="C841" t="s">
        <v>21</v>
      </c>
      <c r="D841" t="s">
        <v>37</v>
      </c>
      <c r="E841">
        <v>3806</v>
      </c>
      <c r="F841">
        <v>9892</v>
      </c>
      <c r="G841">
        <v>5696</v>
      </c>
      <c r="H841">
        <v>441</v>
      </c>
      <c r="I841" t="s">
        <v>28</v>
      </c>
      <c r="J841" s="21">
        <f ca="1">DATE(Table2[[#This Row],[Year]],MONTH(1 &amp; Table2[[#This Row],[Month]]),RANDBETWEEN(1,30))</f>
        <v>45871</v>
      </c>
      <c r="L841" s="2">
        <v>2025</v>
      </c>
      <c r="M841" s="2" t="s">
        <v>52</v>
      </c>
      <c r="N841" s="2">
        <v>473027</v>
      </c>
      <c r="O841" s="2">
        <v>633298</v>
      </c>
      <c r="P841" s="2" t="s">
        <v>49</v>
      </c>
    </row>
    <row r="842" spans="1:16">
      <c r="A842">
        <v>2025</v>
      </c>
      <c r="B842" t="s">
        <v>31</v>
      </c>
      <c r="C842" t="s">
        <v>15</v>
      </c>
      <c r="D842" t="s">
        <v>20</v>
      </c>
      <c r="E842">
        <v>1777</v>
      </c>
      <c r="F842">
        <v>7856</v>
      </c>
      <c r="G842">
        <v>10881</v>
      </c>
      <c r="H842">
        <v>1784</v>
      </c>
      <c r="I842" t="s">
        <v>12</v>
      </c>
      <c r="J842" s="21">
        <f ca="1">DATE(Table2[[#This Row],[Year]],MONTH(1 &amp; Table2[[#This Row],[Month]]),RANDBETWEEN(1,30))</f>
        <v>45873</v>
      </c>
      <c r="L842" s="2">
        <v>2025</v>
      </c>
      <c r="M842" s="2" t="s">
        <v>51</v>
      </c>
      <c r="N842" s="2">
        <v>330266</v>
      </c>
      <c r="O842" s="2">
        <v>496788</v>
      </c>
      <c r="P842" s="2" t="s">
        <v>59</v>
      </c>
    </row>
    <row r="843" spans="1:16">
      <c r="A843">
        <v>2025</v>
      </c>
      <c r="B843" t="s">
        <v>31</v>
      </c>
      <c r="C843" t="s">
        <v>25</v>
      </c>
      <c r="D843" t="s">
        <v>17</v>
      </c>
      <c r="E843">
        <v>159</v>
      </c>
      <c r="F843">
        <v>8670</v>
      </c>
      <c r="G843">
        <v>7443</v>
      </c>
      <c r="H843">
        <v>2979</v>
      </c>
      <c r="I843" t="s">
        <v>12</v>
      </c>
      <c r="J843" s="21">
        <f ca="1">DATE(Table2[[#This Row],[Year]],MONTH(1 &amp; Table2[[#This Row],[Month]]),RANDBETWEEN(1,30))</f>
        <v>45888</v>
      </c>
      <c r="L843" s="2">
        <v>2020</v>
      </c>
      <c r="M843" s="2" t="s">
        <v>60</v>
      </c>
      <c r="N843" s="2">
        <v>150446</v>
      </c>
      <c r="O843" s="2">
        <v>263555</v>
      </c>
      <c r="P843" s="2" t="s">
        <v>50</v>
      </c>
    </row>
    <row r="844" spans="1:16">
      <c r="A844">
        <v>2025</v>
      </c>
      <c r="B844" t="s">
        <v>31</v>
      </c>
      <c r="C844" t="s">
        <v>15</v>
      </c>
      <c r="D844" t="s">
        <v>42</v>
      </c>
      <c r="E844">
        <v>3594</v>
      </c>
      <c r="F844">
        <v>9857</v>
      </c>
      <c r="G844">
        <v>2566</v>
      </c>
      <c r="H844">
        <v>2973</v>
      </c>
      <c r="I844" t="s">
        <v>12</v>
      </c>
      <c r="J844" s="21">
        <f ca="1">DATE(Table2[[#This Row],[Year]],MONTH(1 &amp; Table2[[#This Row],[Month]]),RANDBETWEEN(1,30))</f>
        <v>45872</v>
      </c>
      <c r="L844" s="2">
        <v>2022</v>
      </c>
      <c r="M844" s="2" t="s">
        <v>52</v>
      </c>
      <c r="N844" s="2">
        <v>332689</v>
      </c>
      <c r="O844" s="2">
        <v>413771</v>
      </c>
      <c r="P844" s="2" t="s">
        <v>49</v>
      </c>
    </row>
    <row r="845" spans="1:16">
      <c r="A845">
        <v>2025</v>
      </c>
      <c r="B845" t="s">
        <v>31</v>
      </c>
      <c r="C845" t="s">
        <v>23</v>
      </c>
      <c r="D845" t="s">
        <v>43</v>
      </c>
      <c r="E845">
        <v>2911</v>
      </c>
      <c r="F845">
        <v>4257</v>
      </c>
      <c r="G845">
        <v>6120</v>
      </c>
      <c r="H845">
        <v>1326</v>
      </c>
      <c r="I845" t="s">
        <v>12</v>
      </c>
      <c r="J845" s="21">
        <f ca="1">DATE(Table2[[#This Row],[Year]],MONTH(1 &amp; Table2[[#This Row],[Month]]),RANDBETWEEN(1,30))</f>
        <v>45885</v>
      </c>
      <c r="L845" s="2">
        <v>2020</v>
      </c>
      <c r="M845" s="2" t="s">
        <v>54</v>
      </c>
      <c r="N845" s="2">
        <v>406539</v>
      </c>
      <c r="O845" s="2">
        <v>280430</v>
      </c>
      <c r="P845" s="2" t="s">
        <v>59</v>
      </c>
    </row>
    <row r="846" spans="1:16">
      <c r="A846">
        <v>2025</v>
      </c>
      <c r="B846" t="s">
        <v>31</v>
      </c>
      <c r="C846" t="s">
        <v>10</v>
      </c>
      <c r="D846" t="s">
        <v>22</v>
      </c>
      <c r="E846">
        <v>2441</v>
      </c>
      <c r="F846">
        <v>4146</v>
      </c>
      <c r="G846">
        <v>3673</v>
      </c>
      <c r="H846">
        <v>1049</v>
      </c>
      <c r="I846" t="s">
        <v>18</v>
      </c>
      <c r="J846" s="21">
        <f ca="1">DATE(Table2[[#This Row],[Year]],MONTH(1 &amp; Table2[[#This Row],[Month]]),RANDBETWEEN(1,30))</f>
        <v>45899</v>
      </c>
      <c r="L846" s="2">
        <v>2021</v>
      </c>
      <c r="M846" s="2" t="s">
        <v>60</v>
      </c>
      <c r="N846" s="2">
        <v>262567</v>
      </c>
      <c r="O846" s="2">
        <v>550174</v>
      </c>
      <c r="P846" s="2" t="s">
        <v>59</v>
      </c>
    </row>
    <row r="847" spans="1:16">
      <c r="A847">
        <v>2025</v>
      </c>
      <c r="B847" t="s">
        <v>31</v>
      </c>
      <c r="C847" t="s">
        <v>23</v>
      </c>
      <c r="D847" t="s">
        <v>22</v>
      </c>
      <c r="E847">
        <v>725</v>
      </c>
      <c r="F847">
        <v>4879</v>
      </c>
      <c r="G847">
        <v>10826</v>
      </c>
      <c r="H847">
        <v>1083</v>
      </c>
      <c r="I847" t="s">
        <v>18</v>
      </c>
      <c r="J847" s="21">
        <f ca="1">DATE(Table2[[#This Row],[Year]],MONTH(1 &amp; Table2[[#This Row],[Month]]),RANDBETWEEN(1,30))</f>
        <v>45872</v>
      </c>
      <c r="L847" s="2">
        <v>2020</v>
      </c>
      <c r="M847" s="2" t="s">
        <v>55</v>
      </c>
      <c r="N847" s="2">
        <v>451935</v>
      </c>
      <c r="O847" s="2">
        <v>579434</v>
      </c>
      <c r="P847" s="2" t="s">
        <v>53</v>
      </c>
    </row>
    <row r="848" spans="1:16">
      <c r="A848">
        <v>2025</v>
      </c>
      <c r="B848" t="s">
        <v>31</v>
      </c>
      <c r="C848" t="s">
        <v>29</v>
      </c>
      <c r="D848" t="s">
        <v>38</v>
      </c>
      <c r="E848">
        <v>1073</v>
      </c>
      <c r="F848">
        <v>9619</v>
      </c>
      <c r="G848">
        <v>5587</v>
      </c>
      <c r="H848">
        <v>309</v>
      </c>
      <c r="I848" t="s">
        <v>12</v>
      </c>
      <c r="J848" s="21">
        <f ca="1">DATE(Table2[[#This Row],[Year]],MONTH(1 &amp; Table2[[#This Row],[Month]]),RANDBETWEEN(1,30))</f>
        <v>45892</v>
      </c>
      <c r="L848" s="2">
        <v>2025</v>
      </c>
      <c r="M848" s="2" t="s">
        <v>60</v>
      </c>
      <c r="N848" s="2">
        <v>359473</v>
      </c>
      <c r="O848" s="2">
        <v>252898</v>
      </c>
      <c r="P848" s="2" t="s">
        <v>59</v>
      </c>
    </row>
    <row r="849" spans="1:16">
      <c r="A849">
        <v>2025</v>
      </c>
      <c r="B849" t="s">
        <v>31</v>
      </c>
      <c r="C849" t="s">
        <v>23</v>
      </c>
      <c r="D849" t="s">
        <v>11</v>
      </c>
      <c r="E849">
        <v>1182</v>
      </c>
      <c r="F849">
        <v>7811</v>
      </c>
      <c r="G849">
        <v>5805</v>
      </c>
      <c r="H849">
        <v>1307</v>
      </c>
      <c r="I849" t="s">
        <v>12</v>
      </c>
      <c r="J849" s="21">
        <f ca="1">DATE(Table2[[#This Row],[Year]],MONTH(1 &amp; Table2[[#This Row],[Month]]),RANDBETWEEN(1,30))</f>
        <v>45895</v>
      </c>
      <c r="L849" s="2">
        <v>2020</v>
      </c>
      <c r="M849" s="2" t="s">
        <v>48</v>
      </c>
      <c r="N849" s="2">
        <v>459700</v>
      </c>
      <c r="O849" s="2">
        <v>453070</v>
      </c>
      <c r="P849" s="2" t="s">
        <v>50</v>
      </c>
    </row>
    <row r="850" spans="1:16">
      <c r="A850">
        <v>2025</v>
      </c>
      <c r="B850" t="s">
        <v>13</v>
      </c>
      <c r="C850" t="s">
        <v>29</v>
      </c>
      <c r="D850" t="s">
        <v>16</v>
      </c>
      <c r="E850">
        <v>3502</v>
      </c>
      <c r="F850">
        <v>4613</v>
      </c>
      <c r="G850">
        <v>11811</v>
      </c>
      <c r="H850">
        <v>1669</v>
      </c>
      <c r="I850" t="s">
        <v>12</v>
      </c>
      <c r="J850" s="21">
        <f ca="1">DATE(Table2[[#This Row],[Year]],MONTH(1 &amp; Table2[[#This Row],[Month]]),RANDBETWEEN(1,30))</f>
        <v>45913</v>
      </c>
      <c r="L850" s="2">
        <v>2024</v>
      </c>
      <c r="M850" s="2" t="s">
        <v>54</v>
      </c>
      <c r="N850" s="2">
        <v>349402</v>
      </c>
      <c r="O850" s="2">
        <v>607313</v>
      </c>
      <c r="P850" s="2" t="s">
        <v>50</v>
      </c>
    </row>
    <row r="851" spans="1:16">
      <c r="A851">
        <v>2025</v>
      </c>
      <c r="B851" t="s">
        <v>13</v>
      </c>
      <c r="C851" t="s">
        <v>10</v>
      </c>
      <c r="D851" t="s">
        <v>11</v>
      </c>
      <c r="E851">
        <v>1188</v>
      </c>
      <c r="F851">
        <v>3910</v>
      </c>
      <c r="G851">
        <v>9645</v>
      </c>
      <c r="H851">
        <v>466</v>
      </c>
      <c r="I851" t="s">
        <v>12</v>
      </c>
      <c r="J851" s="21">
        <f ca="1">DATE(Table2[[#This Row],[Year]],MONTH(1 &amp; Table2[[#This Row],[Month]]),RANDBETWEEN(1,30))</f>
        <v>45930</v>
      </c>
      <c r="L851" s="2">
        <v>2021</v>
      </c>
      <c r="M851" s="2" t="s">
        <v>54</v>
      </c>
      <c r="N851" s="2">
        <v>152515</v>
      </c>
      <c r="O851" s="2">
        <v>668082</v>
      </c>
      <c r="P851" s="2" t="s">
        <v>59</v>
      </c>
    </row>
    <row r="852" spans="1:16">
      <c r="A852">
        <v>2025</v>
      </c>
      <c r="B852" t="s">
        <v>13</v>
      </c>
      <c r="C852" t="s">
        <v>15</v>
      </c>
      <c r="D852" t="s">
        <v>42</v>
      </c>
      <c r="E852">
        <v>3772</v>
      </c>
      <c r="F852">
        <v>6028</v>
      </c>
      <c r="G852">
        <v>7607</v>
      </c>
      <c r="H852">
        <v>466</v>
      </c>
      <c r="I852" t="s">
        <v>28</v>
      </c>
      <c r="J852" s="21">
        <f ca="1">DATE(Table2[[#This Row],[Year]],MONTH(1 &amp; Table2[[#This Row],[Month]]),RANDBETWEEN(1,30))</f>
        <v>45914</v>
      </c>
      <c r="L852" s="2">
        <v>2024</v>
      </c>
      <c r="M852" s="2" t="s">
        <v>52</v>
      </c>
      <c r="N852" s="2">
        <v>223877</v>
      </c>
      <c r="O852" s="2">
        <v>456759</v>
      </c>
      <c r="P852" s="2" t="s">
        <v>59</v>
      </c>
    </row>
    <row r="853" spans="1:16">
      <c r="A853">
        <v>2025</v>
      </c>
      <c r="B853" t="s">
        <v>13</v>
      </c>
      <c r="C853" t="s">
        <v>10</v>
      </c>
      <c r="D853" t="s">
        <v>16</v>
      </c>
      <c r="E853">
        <v>1240</v>
      </c>
      <c r="F853">
        <v>9862</v>
      </c>
      <c r="G853">
        <v>3343</v>
      </c>
      <c r="H853">
        <v>1743</v>
      </c>
      <c r="I853" t="s">
        <v>18</v>
      </c>
      <c r="J853" s="21">
        <f ca="1">DATE(Table2[[#This Row],[Year]],MONTH(1 &amp; Table2[[#This Row],[Month]]),RANDBETWEEN(1,30))</f>
        <v>45910</v>
      </c>
      <c r="L853" s="2">
        <v>2021</v>
      </c>
      <c r="M853" s="2" t="s">
        <v>56</v>
      </c>
      <c r="N853" s="2">
        <v>180718</v>
      </c>
      <c r="O853" s="2">
        <v>675140</v>
      </c>
      <c r="P853" s="2" t="s">
        <v>49</v>
      </c>
    </row>
    <row r="854" spans="1:16">
      <c r="A854">
        <v>2025</v>
      </c>
      <c r="B854" t="s">
        <v>13</v>
      </c>
      <c r="C854" t="s">
        <v>29</v>
      </c>
      <c r="D854" t="s">
        <v>11</v>
      </c>
      <c r="E854">
        <v>2824</v>
      </c>
      <c r="F854">
        <v>2692</v>
      </c>
      <c r="G854">
        <v>8223</v>
      </c>
      <c r="H854">
        <v>2070</v>
      </c>
      <c r="I854" t="s">
        <v>28</v>
      </c>
      <c r="J854" s="21">
        <f ca="1">DATE(Table2[[#This Row],[Year]],MONTH(1 &amp; Table2[[#This Row],[Month]]),RANDBETWEEN(1,30))</f>
        <v>45917</v>
      </c>
      <c r="L854" s="2">
        <v>2020</v>
      </c>
      <c r="M854" s="2" t="s">
        <v>55</v>
      </c>
      <c r="N854" s="2">
        <v>463531</v>
      </c>
      <c r="O854" s="2">
        <v>467844</v>
      </c>
      <c r="P854" s="2" t="s">
        <v>50</v>
      </c>
    </row>
    <row r="855" spans="1:16">
      <c r="A855">
        <v>2025</v>
      </c>
      <c r="B855" t="s">
        <v>13</v>
      </c>
      <c r="C855" t="s">
        <v>21</v>
      </c>
      <c r="D855" t="s">
        <v>16</v>
      </c>
      <c r="E855">
        <v>3365</v>
      </c>
      <c r="F855">
        <v>8890</v>
      </c>
      <c r="G855">
        <v>8406</v>
      </c>
      <c r="H855">
        <v>2205</v>
      </c>
      <c r="I855" t="s">
        <v>18</v>
      </c>
      <c r="J855" s="21">
        <f ca="1">DATE(Table2[[#This Row],[Year]],MONTH(1 &amp; Table2[[#This Row],[Month]]),RANDBETWEEN(1,30))</f>
        <v>45908</v>
      </c>
      <c r="L855" s="2">
        <v>2023</v>
      </c>
      <c r="M855" s="2" t="s">
        <v>58</v>
      </c>
      <c r="N855" s="2">
        <v>404160</v>
      </c>
      <c r="O855" s="2">
        <v>397095</v>
      </c>
      <c r="P855" s="2" t="s">
        <v>49</v>
      </c>
    </row>
    <row r="856" spans="1:16">
      <c r="A856">
        <v>2025</v>
      </c>
      <c r="B856" t="s">
        <v>13</v>
      </c>
      <c r="C856" t="s">
        <v>10</v>
      </c>
      <c r="D856" t="s">
        <v>22</v>
      </c>
      <c r="E856">
        <v>3239</v>
      </c>
      <c r="F856">
        <v>2914</v>
      </c>
      <c r="G856">
        <v>10830</v>
      </c>
      <c r="H856">
        <v>2456</v>
      </c>
      <c r="I856" t="s">
        <v>12</v>
      </c>
      <c r="J856" s="21">
        <f ca="1">DATE(Table2[[#This Row],[Year]],MONTH(1 &amp; Table2[[#This Row],[Month]]),RANDBETWEEN(1,30))</f>
        <v>45920</v>
      </c>
      <c r="L856" s="2">
        <v>2023</v>
      </c>
      <c r="M856" s="2" t="s">
        <v>58</v>
      </c>
      <c r="N856" s="2">
        <v>370559</v>
      </c>
      <c r="O856" s="2">
        <v>624102</v>
      </c>
      <c r="P856" s="2" t="s">
        <v>49</v>
      </c>
    </row>
    <row r="857" spans="1:16">
      <c r="A857">
        <v>2025</v>
      </c>
      <c r="B857" t="s">
        <v>13</v>
      </c>
      <c r="C857" t="s">
        <v>10</v>
      </c>
      <c r="D857" t="s">
        <v>17</v>
      </c>
      <c r="E857">
        <v>2964</v>
      </c>
      <c r="F857">
        <v>6471</v>
      </c>
      <c r="G857">
        <v>2836</v>
      </c>
      <c r="H857">
        <v>2154</v>
      </c>
      <c r="I857" t="s">
        <v>18</v>
      </c>
      <c r="J857" s="21">
        <f ca="1">DATE(Table2[[#This Row],[Year]],MONTH(1 &amp; Table2[[#This Row],[Month]]),RANDBETWEEN(1,30))</f>
        <v>45901</v>
      </c>
      <c r="L857" s="2">
        <v>2025</v>
      </c>
      <c r="M857" s="2" t="s">
        <v>57</v>
      </c>
      <c r="N857" s="2">
        <v>220387</v>
      </c>
      <c r="O857" s="2">
        <v>446491</v>
      </c>
      <c r="P857" s="2" t="s">
        <v>53</v>
      </c>
    </row>
    <row r="858" spans="1:16">
      <c r="A858">
        <v>2025</v>
      </c>
      <c r="B858" t="s">
        <v>13</v>
      </c>
      <c r="C858" t="s">
        <v>23</v>
      </c>
      <c r="D858" t="s">
        <v>43</v>
      </c>
      <c r="E858">
        <v>2594</v>
      </c>
      <c r="F858">
        <v>3259</v>
      </c>
      <c r="G858">
        <v>2424</v>
      </c>
      <c r="H858">
        <v>2115</v>
      </c>
      <c r="I858" t="s">
        <v>18</v>
      </c>
      <c r="J858" s="21">
        <f ca="1">DATE(Table2[[#This Row],[Year]],MONTH(1 &amp; Table2[[#This Row],[Month]]),RANDBETWEEN(1,30))</f>
        <v>45905</v>
      </c>
      <c r="L858" s="2">
        <v>2023</v>
      </c>
      <c r="M858" s="2" t="s">
        <v>57</v>
      </c>
      <c r="N858" s="2">
        <v>173618</v>
      </c>
      <c r="O858" s="2">
        <v>435951</v>
      </c>
      <c r="P858" s="2" t="s">
        <v>49</v>
      </c>
    </row>
    <row r="859" spans="1:16">
      <c r="A859">
        <v>2025</v>
      </c>
      <c r="B859" t="s">
        <v>13</v>
      </c>
      <c r="C859" t="s">
        <v>25</v>
      </c>
      <c r="D859" t="s">
        <v>16</v>
      </c>
      <c r="E859">
        <v>464</v>
      </c>
      <c r="F859">
        <v>3153</v>
      </c>
      <c r="G859">
        <v>5133</v>
      </c>
      <c r="H859">
        <v>790</v>
      </c>
      <c r="I859" t="s">
        <v>12</v>
      </c>
      <c r="J859" s="21">
        <f ca="1">DATE(Table2[[#This Row],[Year]],MONTH(1 &amp; Table2[[#This Row],[Month]]),RANDBETWEEN(1,30))</f>
        <v>45903</v>
      </c>
      <c r="L859" s="2">
        <v>2024</v>
      </c>
      <c r="M859" s="2" t="s">
        <v>48</v>
      </c>
      <c r="N859" s="2">
        <v>402580</v>
      </c>
      <c r="O859" s="2">
        <v>445156</v>
      </c>
      <c r="P859" s="2" t="s">
        <v>50</v>
      </c>
    </row>
    <row r="860" spans="1:16">
      <c r="A860">
        <v>2025</v>
      </c>
      <c r="B860" t="s">
        <v>13</v>
      </c>
      <c r="C860" t="s">
        <v>21</v>
      </c>
      <c r="D860" t="s">
        <v>22</v>
      </c>
      <c r="E860">
        <v>992</v>
      </c>
      <c r="F860">
        <v>6477</v>
      </c>
      <c r="G860">
        <v>9093</v>
      </c>
      <c r="H860">
        <v>1486</v>
      </c>
      <c r="I860" t="s">
        <v>28</v>
      </c>
      <c r="J860" s="21">
        <f ca="1">DATE(Table2[[#This Row],[Year]],MONTH(1 &amp; Table2[[#This Row],[Month]]),RANDBETWEEN(1,30))</f>
        <v>45910</v>
      </c>
      <c r="L860" s="2">
        <v>2025</v>
      </c>
      <c r="M860" s="2" t="s">
        <v>48</v>
      </c>
      <c r="N860" s="2">
        <v>289663</v>
      </c>
      <c r="O860" s="2">
        <v>623393</v>
      </c>
      <c r="P860" s="2" t="s">
        <v>49</v>
      </c>
    </row>
    <row r="861" spans="1:16">
      <c r="A861">
        <v>2025</v>
      </c>
      <c r="B861" t="s">
        <v>13</v>
      </c>
      <c r="C861" t="s">
        <v>10</v>
      </c>
      <c r="D861" t="s">
        <v>20</v>
      </c>
      <c r="E861">
        <v>2889</v>
      </c>
      <c r="F861">
        <v>2153</v>
      </c>
      <c r="G861">
        <v>11913</v>
      </c>
      <c r="H861">
        <v>2778</v>
      </c>
      <c r="I861" t="s">
        <v>28</v>
      </c>
      <c r="J861" s="21">
        <f ca="1">DATE(Table2[[#This Row],[Year]],MONTH(1 &amp; Table2[[#This Row],[Month]]),RANDBETWEEN(1,30))</f>
        <v>45918</v>
      </c>
      <c r="L861" s="2">
        <v>2022</v>
      </c>
      <c r="M861" s="2" t="s">
        <v>56</v>
      </c>
      <c r="N861" s="2">
        <v>190316</v>
      </c>
      <c r="O861" s="2">
        <v>615971</v>
      </c>
      <c r="P861" s="2" t="s">
        <v>50</v>
      </c>
    </row>
    <row r="862" spans="1:16">
      <c r="A862">
        <v>2025</v>
      </c>
      <c r="B862" t="s">
        <v>13</v>
      </c>
      <c r="C862" t="s">
        <v>25</v>
      </c>
      <c r="D862" t="s">
        <v>35</v>
      </c>
      <c r="E862">
        <v>850</v>
      </c>
      <c r="F862">
        <v>1649</v>
      </c>
      <c r="G862">
        <v>5119</v>
      </c>
      <c r="H862">
        <v>1747</v>
      </c>
      <c r="I862" t="s">
        <v>28</v>
      </c>
      <c r="J862" s="21">
        <f ca="1">DATE(Table2[[#This Row],[Year]],MONTH(1 &amp; Table2[[#This Row],[Month]]),RANDBETWEEN(1,30))</f>
        <v>45915</v>
      </c>
      <c r="L862" s="2">
        <v>2024</v>
      </c>
      <c r="M862" s="2" t="s">
        <v>51</v>
      </c>
      <c r="N862" s="2">
        <v>346649</v>
      </c>
      <c r="O862" s="2">
        <v>401760</v>
      </c>
      <c r="P862" s="2" t="s">
        <v>50</v>
      </c>
    </row>
    <row r="863" spans="1:16">
      <c r="A863">
        <v>2025</v>
      </c>
      <c r="B863" t="s">
        <v>13</v>
      </c>
      <c r="C863" t="s">
        <v>29</v>
      </c>
      <c r="D863" t="s">
        <v>16</v>
      </c>
      <c r="E863">
        <v>847</v>
      </c>
      <c r="F863">
        <v>5860</v>
      </c>
      <c r="G863">
        <v>10931</v>
      </c>
      <c r="H863">
        <v>313</v>
      </c>
      <c r="I863" t="s">
        <v>18</v>
      </c>
      <c r="J863" s="21">
        <f ca="1">DATE(Table2[[#This Row],[Year]],MONTH(1 &amp; Table2[[#This Row],[Month]]),RANDBETWEEN(1,30))</f>
        <v>45901</v>
      </c>
      <c r="L863" s="2">
        <v>2024</v>
      </c>
      <c r="M863" s="2" t="s">
        <v>60</v>
      </c>
      <c r="N863" s="2">
        <v>116134</v>
      </c>
      <c r="O863" s="2">
        <v>366650</v>
      </c>
      <c r="P863" s="2" t="s">
        <v>53</v>
      </c>
    </row>
    <row r="864" spans="1:16">
      <c r="A864">
        <v>2025</v>
      </c>
      <c r="B864" t="s">
        <v>13</v>
      </c>
      <c r="C864" t="s">
        <v>23</v>
      </c>
      <c r="D864" t="s">
        <v>39</v>
      </c>
      <c r="E864">
        <v>431</v>
      </c>
      <c r="F864">
        <v>1869</v>
      </c>
      <c r="G864">
        <v>2625</v>
      </c>
      <c r="H864">
        <v>2083</v>
      </c>
      <c r="I864" t="s">
        <v>18</v>
      </c>
      <c r="J864" s="21">
        <f ca="1">DATE(Table2[[#This Row],[Year]],MONTH(1 &amp; Table2[[#This Row],[Month]]),RANDBETWEEN(1,30))</f>
        <v>45912</v>
      </c>
      <c r="L864" s="2">
        <v>2022</v>
      </c>
      <c r="M864" s="2" t="s">
        <v>60</v>
      </c>
      <c r="N864" s="2">
        <v>230468</v>
      </c>
      <c r="O864" s="2">
        <v>445964</v>
      </c>
      <c r="P864" s="2" t="s">
        <v>49</v>
      </c>
    </row>
    <row r="865" spans="1:16">
      <c r="A865">
        <v>2025</v>
      </c>
      <c r="B865" t="s">
        <v>13</v>
      </c>
      <c r="C865" t="s">
        <v>15</v>
      </c>
      <c r="D865" t="s">
        <v>22</v>
      </c>
      <c r="E865">
        <v>1774</v>
      </c>
      <c r="F865">
        <v>7843</v>
      </c>
      <c r="G865">
        <v>6327</v>
      </c>
      <c r="H865">
        <v>1047</v>
      </c>
      <c r="I865" t="s">
        <v>28</v>
      </c>
      <c r="J865" s="21">
        <f ca="1">DATE(Table2[[#This Row],[Year]],MONTH(1 &amp; Table2[[#This Row],[Month]]),RANDBETWEEN(1,30))</f>
        <v>45930</v>
      </c>
      <c r="L865" s="2">
        <v>2025</v>
      </c>
      <c r="M865" s="2" t="s">
        <v>51</v>
      </c>
      <c r="N865" s="2">
        <v>287423</v>
      </c>
      <c r="O865" s="2">
        <v>486386</v>
      </c>
      <c r="P865" s="2" t="s">
        <v>49</v>
      </c>
    </row>
    <row r="866" spans="1:16">
      <c r="A866">
        <v>2025</v>
      </c>
      <c r="B866" t="s">
        <v>24</v>
      </c>
      <c r="C866" t="s">
        <v>25</v>
      </c>
      <c r="D866" t="s">
        <v>34</v>
      </c>
      <c r="E866">
        <v>2573</v>
      </c>
      <c r="F866">
        <v>8098</v>
      </c>
      <c r="G866">
        <v>7771</v>
      </c>
      <c r="H866">
        <v>219</v>
      </c>
      <c r="I866" t="s">
        <v>18</v>
      </c>
      <c r="J866" s="21">
        <f ca="1">DATE(Table2[[#This Row],[Year]],MONTH(1 &amp; Table2[[#This Row],[Month]]),RANDBETWEEN(1,30))</f>
        <v>45953</v>
      </c>
      <c r="L866" s="2">
        <v>2021</v>
      </c>
      <c r="M866" s="2" t="s">
        <v>58</v>
      </c>
      <c r="N866" s="2">
        <v>159183</v>
      </c>
      <c r="O866" s="2">
        <v>319169</v>
      </c>
      <c r="P866" s="2" t="s">
        <v>59</v>
      </c>
    </row>
    <row r="867" spans="1:16">
      <c r="A867">
        <v>2025</v>
      </c>
      <c r="B867" t="s">
        <v>24</v>
      </c>
      <c r="C867" t="s">
        <v>23</v>
      </c>
      <c r="D867" t="s">
        <v>42</v>
      </c>
      <c r="E867">
        <v>3823</v>
      </c>
      <c r="F867">
        <v>3223</v>
      </c>
      <c r="G867">
        <v>9655</v>
      </c>
      <c r="H867">
        <v>2827</v>
      </c>
      <c r="I867" t="s">
        <v>18</v>
      </c>
      <c r="J867" s="21">
        <f ca="1">DATE(Table2[[#This Row],[Year]],MONTH(1 &amp; Table2[[#This Row],[Month]]),RANDBETWEEN(1,30))</f>
        <v>45952</v>
      </c>
      <c r="L867" s="2">
        <v>2023</v>
      </c>
      <c r="M867" s="2" t="s">
        <v>56</v>
      </c>
      <c r="N867" s="2">
        <v>493862</v>
      </c>
      <c r="O867" s="2">
        <v>596978</v>
      </c>
      <c r="P867" s="2" t="s">
        <v>59</v>
      </c>
    </row>
    <row r="868" spans="1:16">
      <c r="A868">
        <v>2025</v>
      </c>
      <c r="B868" t="s">
        <v>24</v>
      </c>
      <c r="C868" t="s">
        <v>29</v>
      </c>
      <c r="D868" t="s">
        <v>39</v>
      </c>
      <c r="E868">
        <v>148</v>
      </c>
      <c r="F868">
        <v>4594</v>
      </c>
      <c r="G868">
        <v>9405</v>
      </c>
      <c r="H868">
        <v>841</v>
      </c>
      <c r="I868" t="s">
        <v>12</v>
      </c>
      <c r="J868" s="21">
        <f ca="1">DATE(Table2[[#This Row],[Year]],MONTH(1 &amp; Table2[[#This Row],[Month]]),RANDBETWEEN(1,30))</f>
        <v>45938</v>
      </c>
      <c r="L868" s="2">
        <v>2021</v>
      </c>
      <c r="M868" s="2" t="s">
        <v>60</v>
      </c>
      <c r="N868" s="2">
        <v>183639</v>
      </c>
      <c r="O868" s="2">
        <v>443241</v>
      </c>
      <c r="P868" s="2" t="s">
        <v>59</v>
      </c>
    </row>
    <row r="869" spans="1:16">
      <c r="A869">
        <v>2025</v>
      </c>
      <c r="B869" t="s">
        <v>24</v>
      </c>
      <c r="C869" t="s">
        <v>23</v>
      </c>
      <c r="D869" t="s">
        <v>16</v>
      </c>
      <c r="E869">
        <v>3422</v>
      </c>
      <c r="F869">
        <v>1014</v>
      </c>
      <c r="G869">
        <v>5543</v>
      </c>
      <c r="H869">
        <v>2849</v>
      </c>
      <c r="I869" t="s">
        <v>28</v>
      </c>
      <c r="J869" s="21">
        <f ca="1">DATE(Table2[[#This Row],[Year]],MONTH(1 &amp; Table2[[#This Row],[Month]]),RANDBETWEEN(1,30))</f>
        <v>45947</v>
      </c>
      <c r="L869" s="2">
        <v>2022</v>
      </c>
      <c r="M869" s="2" t="s">
        <v>56</v>
      </c>
      <c r="N869" s="2">
        <v>152141</v>
      </c>
      <c r="O869" s="2">
        <v>367023</v>
      </c>
      <c r="P869" s="2" t="s">
        <v>59</v>
      </c>
    </row>
    <row r="870" spans="1:16">
      <c r="A870">
        <v>2025</v>
      </c>
      <c r="B870" t="s">
        <v>24</v>
      </c>
      <c r="C870" t="s">
        <v>10</v>
      </c>
      <c r="D870" t="s">
        <v>23</v>
      </c>
      <c r="E870">
        <v>3306</v>
      </c>
      <c r="F870">
        <v>1523</v>
      </c>
      <c r="G870">
        <v>5163</v>
      </c>
      <c r="H870">
        <v>2587</v>
      </c>
      <c r="I870" t="s">
        <v>28</v>
      </c>
      <c r="J870" s="21">
        <f ca="1">DATE(Table2[[#This Row],[Year]],MONTH(1 &amp; Table2[[#This Row],[Month]]),RANDBETWEEN(1,30))</f>
        <v>45935</v>
      </c>
      <c r="L870" s="2">
        <v>2020</v>
      </c>
      <c r="M870" s="2" t="s">
        <v>51</v>
      </c>
      <c r="N870" s="2">
        <v>181414</v>
      </c>
      <c r="O870" s="2">
        <v>253410</v>
      </c>
      <c r="P870" s="2" t="s">
        <v>53</v>
      </c>
    </row>
    <row r="871" spans="1:16">
      <c r="A871">
        <v>2025</v>
      </c>
      <c r="B871" t="s">
        <v>24</v>
      </c>
      <c r="C871" t="s">
        <v>21</v>
      </c>
      <c r="D871" t="s">
        <v>37</v>
      </c>
      <c r="E871">
        <v>1212</v>
      </c>
      <c r="F871">
        <v>8151</v>
      </c>
      <c r="G871">
        <v>5711</v>
      </c>
      <c r="H871">
        <v>2625</v>
      </c>
      <c r="I871" t="s">
        <v>28</v>
      </c>
      <c r="J871" s="21">
        <f ca="1">DATE(Table2[[#This Row],[Year]],MONTH(1 &amp; Table2[[#This Row],[Month]]),RANDBETWEEN(1,30))</f>
        <v>45933</v>
      </c>
      <c r="L871" s="2">
        <v>2024</v>
      </c>
      <c r="M871" s="2" t="s">
        <v>60</v>
      </c>
      <c r="N871" s="2">
        <v>407624</v>
      </c>
      <c r="O871" s="2">
        <v>319423</v>
      </c>
      <c r="P871" s="2" t="s">
        <v>53</v>
      </c>
    </row>
    <row r="872" spans="1:16">
      <c r="A872">
        <v>2025</v>
      </c>
      <c r="B872" t="s">
        <v>24</v>
      </c>
      <c r="C872" t="s">
        <v>23</v>
      </c>
      <c r="D872" t="s">
        <v>11</v>
      </c>
      <c r="E872">
        <v>1945</v>
      </c>
      <c r="F872">
        <v>4107</v>
      </c>
      <c r="G872">
        <v>8105</v>
      </c>
      <c r="H872">
        <v>1815</v>
      </c>
      <c r="I872" t="s">
        <v>28</v>
      </c>
      <c r="J872" s="21">
        <f ca="1">DATE(Table2[[#This Row],[Year]],MONTH(1 &amp; Table2[[#This Row],[Month]]),RANDBETWEEN(1,30))</f>
        <v>45931</v>
      </c>
      <c r="L872" s="2">
        <v>2023</v>
      </c>
      <c r="M872" s="2" t="s">
        <v>54</v>
      </c>
      <c r="N872" s="2">
        <v>270202</v>
      </c>
      <c r="O872" s="2">
        <v>674641</v>
      </c>
      <c r="P872" s="2" t="s">
        <v>59</v>
      </c>
    </row>
    <row r="873" spans="1:16">
      <c r="A873">
        <v>2025</v>
      </c>
      <c r="B873" t="s">
        <v>24</v>
      </c>
      <c r="C873" t="s">
        <v>29</v>
      </c>
      <c r="D873" t="s">
        <v>35</v>
      </c>
      <c r="E873">
        <v>2286</v>
      </c>
      <c r="F873">
        <v>9865</v>
      </c>
      <c r="G873">
        <v>9037</v>
      </c>
      <c r="H873">
        <v>1760</v>
      </c>
      <c r="I873" t="s">
        <v>18</v>
      </c>
      <c r="J873" s="21">
        <f ca="1">DATE(Table2[[#This Row],[Year]],MONTH(1 &amp; Table2[[#This Row],[Month]]),RANDBETWEEN(1,30))</f>
        <v>45943</v>
      </c>
      <c r="L873" s="2">
        <v>2021</v>
      </c>
      <c r="M873" s="2" t="s">
        <v>51</v>
      </c>
      <c r="N873" s="2">
        <v>326166</v>
      </c>
      <c r="O873" s="2">
        <v>352550</v>
      </c>
      <c r="P873" s="2" t="s">
        <v>49</v>
      </c>
    </row>
    <row r="874" spans="1:16">
      <c r="A874">
        <v>2025</v>
      </c>
      <c r="B874" t="s">
        <v>24</v>
      </c>
      <c r="C874" t="s">
        <v>10</v>
      </c>
      <c r="D874" t="s">
        <v>23</v>
      </c>
      <c r="E874">
        <v>2274</v>
      </c>
      <c r="F874">
        <v>9236</v>
      </c>
      <c r="G874">
        <v>8727</v>
      </c>
      <c r="H874">
        <v>1408</v>
      </c>
      <c r="I874" t="s">
        <v>18</v>
      </c>
      <c r="J874" s="21">
        <f ca="1">DATE(Table2[[#This Row],[Year]],MONTH(1 &amp; Table2[[#This Row],[Month]]),RANDBETWEEN(1,30))</f>
        <v>45948</v>
      </c>
      <c r="L874" s="2">
        <v>2025</v>
      </c>
      <c r="M874" s="2" t="s">
        <v>56</v>
      </c>
      <c r="N874" s="2">
        <v>108404</v>
      </c>
      <c r="O874" s="2">
        <v>284430</v>
      </c>
      <c r="P874" s="2" t="s">
        <v>50</v>
      </c>
    </row>
    <row r="875" spans="1:16">
      <c r="A875">
        <v>2025</v>
      </c>
      <c r="B875" t="s">
        <v>24</v>
      </c>
      <c r="C875" t="s">
        <v>29</v>
      </c>
      <c r="D875" t="s">
        <v>38</v>
      </c>
      <c r="E875">
        <v>3904</v>
      </c>
      <c r="F875">
        <v>7499</v>
      </c>
      <c r="G875">
        <v>9716</v>
      </c>
      <c r="H875">
        <v>1073</v>
      </c>
      <c r="I875" t="s">
        <v>28</v>
      </c>
      <c r="J875" s="21">
        <f ca="1">DATE(Table2[[#This Row],[Year]],MONTH(1 &amp; Table2[[#This Row],[Month]]),RANDBETWEEN(1,30))</f>
        <v>45933</v>
      </c>
      <c r="L875" s="2">
        <v>2021</v>
      </c>
      <c r="M875" s="2" t="s">
        <v>51</v>
      </c>
      <c r="N875" s="2">
        <v>113773</v>
      </c>
      <c r="O875" s="2">
        <v>430336</v>
      </c>
      <c r="P875" s="2" t="s">
        <v>50</v>
      </c>
    </row>
    <row r="876" spans="1:16">
      <c r="A876">
        <v>2025</v>
      </c>
      <c r="B876" t="s">
        <v>24</v>
      </c>
      <c r="C876" t="s">
        <v>29</v>
      </c>
      <c r="D876" t="s">
        <v>35</v>
      </c>
      <c r="E876">
        <v>1314</v>
      </c>
      <c r="F876">
        <v>7193</v>
      </c>
      <c r="G876">
        <v>5678</v>
      </c>
      <c r="H876">
        <v>746</v>
      </c>
      <c r="I876" t="s">
        <v>28</v>
      </c>
      <c r="J876" s="21">
        <f ca="1">DATE(Table2[[#This Row],[Year]],MONTH(1 &amp; Table2[[#This Row],[Month]]),RANDBETWEEN(1,30))</f>
        <v>45940</v>
      </c>
      <c r="L876" s="2">
        <v>2023</v>
      </c>
      <c r="M876" s="2" t="s">
        <v>58</v>
      </c>
      <c r="N876" s="2">
        <v>278330</v>
      </c>
      <c r="O876" s="2">
        <v>353544</v>
      </c>
      <c r="P876" s="2" t="s">
        <v>59</v>
      </c>
    </row>
    <row r="877" spans="1:16">
      <c r="A877">
        <v>2025</v>
      </c>
      <c r="B877" t="s">
        <v>32</v>
      </c>
      <c r="C877" t="s">
        <v>23</v>
      </c>
      <c r="D877" t="s">
        <v>38</v>
      </c>
      <c r="E877">
        <v>3947</v>
      </c>
      <c r="F877">
        <v>9704</v>
      </c>
      <c r="G877">
        <v>8854</v>
      </c>
      <c r="H877">
        <v>2393</v>
      </c>
      <c r="I877" t="s">
        <v>18</v>
      </c>
      <c r="J877" s="21">
        <f ca="1">DATE(Table2[[#This Row],[Year]],MONTH(1 &amp; Table2[[#This Row],[Month]]),RANDBETWEEN(1,30))</f>
        <v>45962</v>
      </c>
      <c r="L877" s="2">
        <v>2024</v>
      </c>
      <c r="M877" s="2" t="s">
        <v>52</v>
      </c>
      <c r="N877" s="2">
        <v>426662</v>
      </c>
      <c r="O877" s="2">
        <v>217580</v>
      </c>
      <c r="P877" s="2" t="s">
        <v>49</v>
      </c>
    </row>
    <row r="878" spans="1:16">
      <c r="A878">
        <v>2025</v>
      </c>
      <c r="B878" t="s">
        <v>32</v>
      </c>
      <c r="C878" t="s">
        <v>29</v>
      </c>
      <c r="D878" t="s">
        <v>37</v>
      </c>
      <c r="E878">
        <v>1955</v>
      </c>
      <c r="F878">
        <v>2361</v>
      </c>
      <c r="G878">
        <v>7838</v>
      </c>
      <c r="H878">
        <v>532</v>
      </c>
      <c r="I878" t="s">
        <v>28</v>
      </c>
      <c r="J878" s="21">
        <f ca="1">DATE(Table2[[#This Row],[Year]],MONTH(1 &amp; Table2[[#This Row],[Month]]),RANDBETWEEN(1,30))</f>
        <v>45976</v>
      </c>
      <c r="L878" s="2">
        <v>2020</v>
      </c>
      <c r="M878" s="2" t="s">
        <v>60</v>
      </c>
      <c r="N878" s="2">
        <v>454096</v>
      </c>
      <c r="O878" s="2">
        <v>361573</v>
      </c>
      <c r="P878" s="2" t="s">
        <v>49</v>
      </c>
    </row>
    <row r="879" spans="1:16">
      <c r="A879">
        <v>2025</v>
      </c>
      <c r="B879" t="s">
        <v>32</v>
      </c>
      <c r="C879" t="s">
        <v>15</v>
      </c>
      <c r="D879" t="s">
        <v>35</v>
      </c>
      <c r="E879">
        <v>2341</v>
      </c>
      <c r="F879">
        <v>5610</v>
      </c>
      <c r="G879">
        <v>2099</v>
      </c>
      <c r="H879">
        <v>1790</v>
      </c>
      <c r="I879" t="s">
        <v>18</v>
      </c>
      <c r="J879" s="21">
        <f ca="1">DATE(Table2[[#This Row],[Year]],MONTH(1 &amp; Table2[[#This Row],[Month]]),RANDBETWEEN(1,30))</f>
        <v>45989</v>
      </c>
      <c r="L879" s="2">
        <v>2021</v>
      </c>
      <c r="M879" s="2" t="s">
        <v>48</v>
      </c>
      <c r="N879" s="2">
        <v>134683</v>
      </c>
      <c r="O879" s="2">
        <v>472054</v>
      </c>
      <c r="P879" s="2" t="s">
        <v>59</v>
      </c>
    </row>
    <row r="880" spans="1:16">
      <c r="A880">
        <v>2025</v>
      </c>
      <c r="B880" t="s">
        <v>32</v>
      </c>
      <c r="C880" t="s">
        <v>15</v>
      </c>
      <c r="D880" t="s">
        <v>22</v>
      </c>
      <c r="E880">
        <v>1062</v>
      </c>
      <c r="F880">
        <v>7621</v>
      </c>
      <c r="G880">
        <v>11182</v>
      </c>
      <c r="H880">
        <v>2135</v>
      </c>
      <c r="I880" t="s">
        <v>28</v>
      </c>
      <c r="J880" s="21">
        <f ca="1">DATE(Table2[[#This Row],[Year]],MONTH(1 &amp; Table2[[#This Row],[Month]]),RANDBETWEEN(1,30))</f>
        <v>45987</v>
      </c>
      <c r="L880" s="2">
        <v>2023</v>
      </c>
      <c r="M880" s="2" t="s">
        <v>56</v>
      </c>
      <c r="N880" s="2">
        <v>315345</v>
      </c>
      <c r="O880" s="2">
        <v>475856</v>
      </c>
      <c r="P880" s="2" t="s">
        <v>50</v>
      </c>
    </row>
    <row r="881" spans="1:16">
      <c r="A881">
        <v>2025</v>
      </c>
      <c r="B881" t="s">
        <v>32</v>
      </c>
      <c r="C881" t="s">
        <v>21</v>
      </c>
      <c r="D881" t="s">
        <v>34</v>
      </c>
      <c r="E881">
        <v>1929</v>
      </c>
      <c r="F881">
        <v>6497</v>
      </c>
      <c r="G881">
        <v>5078</v>
      </c>
      <c r="H881">
        <v>2256</v>
      </c>
      <c r="I881" t="s">
        <v>28</v>
      </c>
      <c r="J881" s="21">
        <f ca="1">DATE(Table2[[#This Row],[Year]],MONTH(1 &amp; Table2[[#This Row],[Month]]),RANDBETWEEN(1,30))</f>
        <v>45985</v>
      </c>
      <c r="L881" s="2">
        <v>2021</v>
      </c>
      <c r="M881" s="2" t="s">
        <v>58</v>
      </c>
      <c r="N881" s="2">
        <v>465292</v>
      </c>
      <c r="O881" s="2">
        <v>378279</v>
      </c>
      <c r="P881" s="2" t="s">
        <v>59</v>
      </c>
    </row>
    <row r="882" spans="1:16">
      <c r="A882">
        <v>2025</v>
      </c>
      <c r="B882" t="s">
        <v>32</v>
      </c>
      <c r="C882" t="s">
        <v>10</v>
      </c>
      <c r="D882" t="s">
        <v>26</v>
      </c>
      <c r="E882">
        <v>123</v>
      </c>
      <c r="F882">
        <v>9856</v>
      </c>
      <c r="G882">
        <v>3699</v>
      </c>
      <c r="H882">
        <v>1204</v>
      </c>
      <c r="I882" t="s">
        <v>18</v>
      </c>
      <c r="J882" s="21">
        <f ca="1">DATE(Table2[[#This Row],[Year]],MONTH(1 &amp; Table2[[#This Row],[Month]]),RANDBETWEEN(1,30))</f>
        <v>45967</v>
      </c>
      <c r="L882" s="2">
        <v>2025</v>
      </c>
      <c r="M882" s="2" t="s">
        <v>54</v>
      </c>
      <c r="N882" s="2">
        <v>255189</v>
      </c>
      <c r="O882" s="2">
        <v>423651</v>
      </c>
      <c r="P882" s="2" t="s">
        <v>53</v>
      </c>
    </row>
    <row r="883" spans="1:16">
      <c r="A883">
        <v>2025</v>
      </c>
      <c r="B883" t="s">
        <v>32</v>
      </c>
      <c r="C883" t="s">
        <v>10</v>
      </c>
      <c r="D883" t="s">
        <v>35</v>
      </c>
      <c r="E883">
        <v>2122</v>
      </c>
      <c r="F883">
        <v>4341</v>
      </c>
      <c r="G883">
        <v>5878</v>
      </c>
      <c r="H883">
        <v>559</v>
      </c>
      <c r="I883" t="s">
        <v>12</v>
      </c>
      <c r="J883" s="21">
        <f ca="1">DATE(Table2[[#This Row],[Year]],MONTH(1 &amp; Table2[[#This Row],[Month]]),RANDBETWEEN(1,30))</f>
        <v>45982</v>
      </c>
      <c r="L883" s="2">
        <v>2024</v>
      </c>
      <c r="M883" s="2" t="s">
        <v>57</v>
      </c>
      <c r="N883" s="2">
        <v>431826</v>
      </c>
      <c r="O883" s="2">
        <v>682759</v>
      </c>
      <c r="P883" s="2" t="s">
        <v>53</v>
      </c>
    </row>
    <row r="884" spans="1:16">
      <c r="A884">
        <v>2025</v>
      </c>
      <c r="B884" t="s">
        <v>32</v>
      </c>
      <c r="C884" t="s">
        <v>10</v>
      </c>
      <c r="D884" t="s">
        <v>35</v>
      </c>
      <c r="E884">
        <v>2252</v>
      </c>
      <c r="F884">
        <v>3736</v>
      </c>
      <c r="G884">
        <v>7876</v>
      </c>
      <c r="H884">
        <v>833</v>
      </c>
      <c r="I884" t="s">
        <v>12</v>
      </c>
      <c r="J884" s="21">
        <f ca="1">DATE(Table2[[#This Row],[Year]],MONTH(1 &amp; Table2[[#This Row],[Month]]),RANDBETWEEN(1,30))</f>
        <v>45972</v>
      </c>
      <c r="L884" s="2">
        <v>2024</v>
      </c>
      <c r="M884" s="2" t="s">
        <v>61</v>
      </c>
      <c r="N884" s="2">
        <v>153478</v>
      </c>
      <c r="O884" s="2">
        <v>388674</v>
      </c>
      <c r="P884" s="2" t="s">
        <v>49</v>
      </c>
    </row>
    <row r="885" spans="1:16">
      <c r="A885">
        <v>2025</v>
      </c>
      <c r="B885" t="s">
        <v>32</v>
      </c>
      <c r="C885" t="s">
        <v>29</v>
      </c>
      <c r="D885" t="s">
        <v>20</v>
      </c>
      <c r="E885">
        <v>2614</v>
      </c>
      <c r="F885">
        <v>5053</v>
      </c>
      <c r="G885">
        <v>11978</v>
      </c>
      <c r="H885">
        <v>1843</v>
      </c>
      <c r="I885" t="s">
        <v>28</v>
      </c>
      <c r="J885" s="21">
        <f ca="1">DATE(Table2[[#This Row],[Year]],MONTH(1 &amp; Table2[[#This Row],[Month]]),RANDBETWEEN(1,30))</f>
        <v>45963</v>
      </c>
      <c r="L885" s="2">
        <v>2020</v>
      </c>
      <c r="M885" s="2" t="s">
        <v>55</v>
      </c>
      <c r="N885" s="2">
        <v>474158</v>
      </c>
      <c r="O885" s="2">
        <v>329113</v>
      </c>
      <c r="P885" s="2" t="s">
        <v>50</v>
      </c>
    </row>
    <row r="886" spans="1:16">
      <c r="A886">
        <v>2025</v>
      </c>
      <c r="B886" t="s">
        <v>32</v>
      </c>
      <c r="C886" t="s">
        <v>25</v>
      </c>
      <c r="D886" t="s">
        <v>37</v>
      </c>
      <c r="E886">
        <v>2602</v>
      </c>
      <c r="F886">
        <v>4524</v>
      </c>
      <c r="G886">
        <v>2090</v>
      </c>
      <c r="H886">
        <v>1440</v>
      </c>
      <c r="I886" t="s">
        <v>18</v>
      </c>
      <c r="J886" s="21">
        <f ca="1">DATE(Table2[[#This Row],[Year]],MONTH(1 &amp; Table2[[#This Row],[Month]]),RANDBETWEEN(1,30))</f>
        <v>45972</v>
      </c>
      <c r="L886" s="2">
        <v>2025</v>
      </c>
      <c r="M886" s="2" t="s">
        <v>57</v>
      </c>
      <c r="N886" s="2">
        <v>400569</v>
      </c>
      <c r="O886" s="2">
        <v>321734</v>
      </c>
      <c r="P886" s="2" t="s">
        <v>59</v>
      </c>
    </row>
    <row r="887" spans="1:16">
      <c r="A887">
        <v>2025</v>
      </c>
      <c r="B887" t="s">
        <v>32</v>
      </c>
      <c r="C887" t="s">
        <v>29</v>
      </c>
      <c r="D887" t="s">
        <v>23</v>
      </c>
      <c r="E887">
        <v>1853</v>
      </c>
      <c r="F887">
        <v>9436</v>
      </c>
      <c r="G887">
        <v>11579</v>
      </c>
      <c r="H887">
        <v>1427</v>
      </c>
      <c r="I887" t="s">
        <v>28</v>
      </c>
      <c r="J887" s="21">
        <f ca="1">DATE(Table2[[#This Row],[Year]],MONTH(1 &amp; Table2[[#This Row],[Month]]),RANDBETWEEN(1,30))</f>
        <v>45980</v>
      </c>
      <c r="L887" s="2">
        <v>2023</v>
      </c>
      <c r="M887" s="2" t="s">
        <v>51</v>
      </c>
      <c r="N887" s="2">
        <v>476534</v>
      </c>
      <c r="O887" s="2">
        <v>428882</v>
      </c>
      <c r="P887" s="2" t="s">
        <v>59</v>
      </c>
    </row>
    <row r="888" spans="1:16">
      <c r="A888">
        <v>2025</v>
      </c>
      <c r="B888" t="s">
        <v>32</v>
      </c>
      <c r="C888" t="s">
        <v>10</v>
      </c>
      <c r="D888" t="s">
        <v>17</v>
      </c>
      <c r="E888">
        <v>2392</v>
      </c>
      <c r="F888">
        <v>3919</v>
      </c>
      <c r="G888">
        <v>7104</v>
      </c>
      <c r="H888">
        <v>1209</v>
      </c>
      <c r="I888" t="s">
        <v>18</v>
      </c>
      <c r="J888" s="21">
        <f ca="1">DATE(Table2[[#This Row],[Year]],MONTH(1 &amp; Table2[[#This Row],[Month]]),RANDBETWEEN(1,30))</f>
        <v>45967</v>
      </c>
      <c r="L888" s="2">
        <v>2023</v>
      </c>
      <c r="M888" s="2" t="s">
        <v>60</v>
      </c>
      <c r="N888" s="2">
        <v>370647</v>
      </c>
      <c r="O888" s="2">
        <v>579760</v>
      </c>
      <c r="P888" s="2" t="s">
        <v>59</v>
      </c>
    </row>
    <row r="889" spans="1:16">
      <c r="A889">
        <v>2025</v>
      </c>
      <c r="B889" t="s">
        <v>32</v>
      </c>
      <c r="C889" t="s">
        <v>21</v>
      </c>
      <c r="D889" t="s">
        <v>35</v>
      </c>
      <c r="E889">
        <v>218</v>
      </c>
      <c r="F889">
        <v>2027</v>
      </c>
      <c r="G889">
        <v>9806</v>
      </c>
      <c r="H889">
        <v>2811</v>
      </c>
      <c r="I889" t="s">
        <v>12</v>
      </c>
      <c r="J889" s="21">
        <f ca="1">DATE(Table2[[#This Row],[Year]],MONTH(1 &amp; Table2[[#This Row],[Month]]),RANDBETWEEN(1,30))</f>
        <v>45982</v>
      </c>
      <c r="L889" s="2">
        <v>2022</v>
      </c>
      <c r="M889" s="2" t="s">
        <v>54</v>
      </c>
      <c r="N889" s="2">
        <v>245362</v>
      </c>
      <c r="O889" s="2">
        <v>302994</v>
      </c>
      <c r="P889" s="2" t="s">
        <v>53</v>
      </c>
    </row>
    <row r="890" spans="1:16">
      <c r="A890">
        <v>2025</v>
      </c>
      <c r="B890" t="s">
        <v>41</v>
      </c>
      <c r="C890" t="s">
        <v>15</v>
      </c>
      <c r="D890" t="s">
        <v>30</v>
      </c>
      <c r="E890">
        <v>3615</v>
      </c>
      <c r="F890">
        <v>6513</v>
      </c>
      <c r="G890">
        <v>8056</v>
      </c>
      <c r="H890">
        <v>2194</v>
      </c>
      <c r="I890" t="s">
        <v>18</v>
      </c>
      <c r="J890" s="21">
        <f ca="1">DATE(Table2[[#This Row],[Year]],MONTH(1 &amp; Table2[[#This Row],[Month]]),RANDBETWEEN(1,30))</f>
        <v>46000</v>
      </c>
      <c r="L890" s="2">
        <v>2025</v>
      </c>
      <c r="M890" s="2" t="s">
        <v>55</v>
      </c>
      <c r="N890" s="2">
        <v>475272</v>
      </c>
      <c r="O890" s="2">
        <v>554648</v>
      </c>
      <c r="P890" s="2" t="s">
        <v>59</v>
      </c>
    </row>
    <row r="891" spans="1:16">
      <c r="A891">
        <v>2025</v>
      </c>
      <c r="B891" t="s">
        <v>41</v>
      </c>
      <c r="C891" t="s">
        <v>15</v>
      </c>
      <c r="D891" t="s">
        <v>42</v>
      </c>
      <c r="E891">
        <v>2506</v>
      </c>
      <c r="F891">
        <v>7879</v>
      </c>
      <c r="G891">
        <v>7180</v>
      </c>
      <c r="H891">
        <v>600</v>
      </c>
      <c r="I891" t="s">
        <v>28</v>
      </c>
      <c r="J891" s="21">
        <f ca="1">DATE(Table2[[#This Row],[Year]],MONTH(1 &amp; Table2[[#This Row],[Month]]),RANDBETWEEN(1,30))</f>
        <v>46006</v>
      </c>
      <c r="L891" s="2">
        <v>2025</v>
      </c>
      <c r="M891" s="2" t="s">
        <v>52</v>
      </c>
      <c r="N891" s="2">
        <v>210227</v>
      </c>
      <c r="O891" s="2">
        <v>210575</v>
      </c>
      <c r="P891" s="2" t="s">
        <v>59</v>
      </c>
    </row>
    <row r="892" spans="1:16">
      <c r="A892">
        <v>2025</v>
      </c>
      <c r="B892" t="s">
        <v>41</v>
      </c>
      <c r="C892" t="s">
        <v>15</v>
      </c>
      <c r="D892" t="s">
        <v>35</v>
      </c>
      <c r="E892">
        <v>2560</v>
      </c>
      <c r="F892">
        <v>8391</v>
      </c>
      <c r="G892">
        <v>4415</v>
      </c>
      <c r="H892">
        <v>2103</v>
      </c>
      <c r="I892" t="s">
        <v>18</v>
      </c>
      <c r="J892" s="21">
        <f ca="1">DATE(Table2[[#This Row],[Year]],MONTH(1 &amp; Table2[[#This Row],[Month]]),RANDBETWEEN(1,30))</f>
        <v>46001</v>
      </c>
      <c r="L892" s="2">
        <v>2023</v>
      </c>
      <c r="M892" s="2" t="s">
        <v>61</v>
      </c>
      <c r="N892" s="2">
        <v>232869</v>
      </c>
      <c r="O892" s="2">
        <v>409466</v>
      </c>
      <c r="P892" s="2" t="s">
        <v>49</v>
      </c>
    </row>
    <row r="893" spans="1:16">
      <c r="A893">
        <v>2025</v>
      </c>
      <c r="B893" t="s">
        <v>41</v>
      </c>
      <c r="C893" t="s">
        <v>23</v>
      </c>
      <c r="D893" t="s">
        <v>16</v>
      </c>
      <c r="E893">
        <v>1402</v>
      </c>
      <c r="F893">
        <v>5023</v>
      </c>
      <c r="G893">
        <v>8725</v>
      </c>
      <c r="H893">
        <v>1438</v>
      </c>
      <c r="I893" t="s">
        <v>28</v>
      </c>
      <c r="J893" s="21">
        <f ca="1">DATE(Table2[[#This Row],[Year]],MONTH(1 &amp; Table2[[#This Row],[Month]]),RANDBETWEEN(1,30))</f>
        <v>45996</v>
      </c>
      <c r="L893" s="2">
        <v>2023</v>
      </c>
      <c r="M893" s="2" t="s">
        <v>51</v>
      </c>
      <c r="N893" s="2">
        <v>380323</v>
      </c>
      <c r="O893" s="2">
        <v>587933</v>
      </c>
      <c r="P893" s="2" t="s">
        <v>59</v>
      </c>
    </row>
    <row r="894" spans="1:16">
      <c r="A894">
        <v>2025</v>
      </c>
      <c r="B894" t="s">
        <v>41</v>
      </c>
      <c r="C894" t="s">
        <v>15</v>
      </c>
      <c r="D894" t="s">
        <v>42</v>
      </c>
      <c r="E894">
        <v>3714</v>
      </c>
      <c r="F894">
        <v>7333</v>
      </c>
      <c r="G894">
        <v>4708</v>
      </c>
      <c r="H894">
        <v>1352</v>
      </c>
      <c r="I894" t="s">
        <v>18</v>
      </c>
      <c r="J894" s="21">
        <f ca="1">DATE(Table2[[#This Row],[Year]],MONTH(1 &amp; Table2[[#This Row],[Month]]),RANDBETWEEN(1,30))</f>
        <v>46005</v>
      </c>
      <c r="L894" s="2">
        <v>2021</v>
      </c>
      <c r="M894" s="2" t="s">
        <v>55</v>
      </c>
      <c r="N894" s="2">
        <v>406127</v>
      </c>
      <c r="O894" s="2">
        <v>369366</v>
      </c>
      <c r="P894" s="2" t="s">
        <v>53</v>
      </c>
    </row>
    <row r="895" spans="1:16">
      <c r="A895">
        <v>2025</v>
      </c>
      <c r="B895" t="s">
        <v>41</v>
      </c>
      <c r="C895" t="s">
        <v>15</v>
      </c>
      <c r="D895" t="s">
        <v>34</v>
      </c>
      <c r="E895">
        <v>2457</v>
      </c>
      <c r="F895">
        <v>6537</v>
      </c>
      <c r="G895">
        <v>5876</v>
      </c>
      <c r="H895">
        <v>1431</v>
      </c>
      <c r="I895" t="s">
        <v>12</v>
      </c>
      <c r="J895" s="21">
        <f ca="1">DATE(Table2[[#This Row],[Year]],MONTH(1 &amp; Table2[[#This Row],[Month]]),RANDBETWEEN(1,30))</f>
        <v>46018</v>
      </c>
      <c r="L895" s="2">
        <v>2020</v>
      </c>
      <c r="M895" s="2" t="s">
        <v>48</v>
      </c>
      <c r="N895" s="2">
        <v>471761</v>
      </c>
      <c r="O895" s="2">
        <v>481869</v>
      </c>
      <c r="P895" s="2" t="s">
        <v>49</v>
      </c>
    </row>
    <row r="896" spans="1:16">
      <c r="A896">
        <v>2025</v>
      </c>
      <c r="B896" t="s">
        <v>41</v>
      </c>
      <c r="C896" t="s">
        <v>25</v>
      </c>
      <c r="D896" t="s">
        <v>35</v>
      </c>
      <c r="E896">
        <v>2751</v>
      </c>
      <c r="F896">
        <v>8701</v>
      </c>
      <c r="G896">
        <v>4689</v>
      </c>
      <c r="H896">
        <v>1351</v>
      </c>
      <c r="I896" t="s">
        <v>12</v>
      </c>
      <c r="J896" s="21">
        <f ca="1">DATE(Table2[[#This Row],[Year]],MONTH(1 &amp; Table2[[#This Row],[Month]]),RANDBETWEEN(1,30))</f>
        <v>45992</v>
      </c>
      <c r="L896" s="2">
        <v>2022</v>
      </c>
      <c r="M896" s="2" t="s">
        <v>55</v>
      </c>
      <c r="N896" s="2">
        <v>181921</v>
      </c>
      <c r="O896" s="2">
        <v>302490</v>
      </c>
      <c r="P896" s="2" t="s">
        <v>50</v>
      </c>
    </row>
    <row r="897" spans="1:16">
      <c r="A897">
        <v>2025</v>
      </c>
      <c r="B897" t="s">
        <v>41</v>
      </c>
      <c r="C897" t="s">
        <v>23</v>
      </c>
      <c r="D897" t="s">
        <v>37</v>
      </c>
      <c r="E897">
        <v>824</v>
      </c>
      <c r="F897">
        <v>4962</v>
      </c>
      <c r="G897">
        <v>9875</v>
      </c>
      <c r="H897">
        <v>2058</v>
      </c>
      <c r="I897" t="s">
        <v>12</v>
      </c>
      <c r="J897" s="21">
        <f ca="1">DATE(Table2[[#This Row],[Year]],MONTH(1 &amp; Table2[[#This Row],[Month]]),RANDBETWEEN(1,30))</f>
        <v>45995</v>
      </c>
      <c r="L897" s="2">
        <v>2025</v>
      </c>
      <c r="M897" s="2" t="s">
        <v>61</v>
      </c>
      <c r="N897" s="2">
        <v>419199</v>
      </c>
      <c r="O897" s="2">
        <v>570998</v>
      </c>
      <c r="P897" s="2" t="s">
        <v>50</v>
      </c>
    </row>
    <row r="898" spans="1:16">
      <c r="A898">
        <v>2025</v>
      </c>
      <c r="B898" t="s">
        <v>41</v>
      </c>
      <c r="C898" t="s">
        <v>23</v>
      </c>
      <c r="D898" t="s">
        <v>17</v>
      </c>
      <c r="E898">
        <v>2521</v>
      </c>
      <c r="F898">
        <v>4938</v>
      </c>
      <c r="G898">
        <v>2581</v>
      </c>
      <c r="H898">
        <v>1570</v>
      </c>
      <c r="I898" t="s">
        <v>28</v>
      </c>
      <c r="J898" s="21">
        <f ca="1">DATE(Table2[[#This Row],[Year]],MONTH(1 &amp; Table2[[#This Row],[Month]]),RANDBETWEEN(1,30))</f>
        <v>45993</v>
      </c>
      <c r="L898" s="2">
        <v>2023</v>
      </c>
      <c r="M898" s="2" t="s">
        <v>48</v>
      </c>
      <c r="N898" s="2">
        <v>395418</v>
      </c>
      <c r="O898" s="2">
        <v>226140</v>
      </c>
      <c r="P898" s="2" t="s">
        <v>53</v>
      </c>
    </row>
    <row r="899" spans="1:16">
      <c r="A899">
        <v>2025</v>
      </c>
      <c r="B899" t="s">
        <v>41</v>
      </c>
      <c r="C899" t="s">
        <v>23</v>
      </c>
      <c r="D899" t="s">
        <v>30</v>
      </c>
      <c r="E899">
        <v>2289</v>
      </c>
      <c r="F899">
        <v>2812</v>
      </c>
      <c r="G899">
        <v>9271</v>
      </c>
      <c r="H899">
        <v>1357</v>
      </c>
      <c r="I899" t="s">
        <v>28</v>
      </c>
      <c r="J899" s="21">
        <f ca="1">DATE(Table2[[#This Row],[Year]],MONTH(1 &amp; Table2[[#This Row],[Month]]),RANDBETWEEN(1,30))</f>
        <v>46000</v>
      </c>
      <c r="L899" s="2">
        <v>2021</v>
      </c>
      <c r="M899" s="2" t="s">
        <v>56</v>
      </c>
      <c r="N899" s="2">
        <v>125518</v>
      </c>
      <c r="O899" s="2">
        <v>626271</v>
      </c>
      <c r="P899" s="2" t="s">
        <v>59</v>
      </c>
    </row>
    <row r="900" spans="1:16">
      <c r="A900">
        <v>2025</v>
      </c>
      <c r="B900" t="s">
        <v>41</v>
      </c>
      <c r="C900" t="s">
        <v>21</v>
      </c>
      <c r="D900" t="s">
        <v>20</v>
      </c>
      <c r="E900">
        <v>1007</v>
      </c>
      <c r="F900">
        <v>6038</v>
      </c>
      <c r="G900">
        <v>9509</v>
      </c>
      <c r="H900">
        <v>1944</v>
      </c>
      <c r="I900" t="s">
        <v>28</v>
      </c>
      <c r="J900" s="21">
        <f ca="1">DATE(Table2[[#This Row],[Year]],MONTH(1 &amp; Table2[[#This Row],[Month]]),RANDBETWEEN(1,30))</f>
        <v>46005</v>
      </c>
      <c r="L900" s="2">
        <v>2022</v>
      </c>
      <c r="M900" s="2" t="s">
        <v>58</v>
      </c>
      <c r="N900" s="2">
        <v>254889</v>
      </c>
      <c r="O900" s="2">
        <v>299098</v>
      </c>
      <c r="P900" s="2" t="s">
        <v>50</v>
      </c>
    </row>
    <row r="901" spans="1:16">
      <c r="A901">
        <v>2025</v>
      </c>
      <c r="B901" t="s">
        <v>41</v>
      </c>
      <c r="C901" t="s">
        <v>23</v>
      </c>
      <c r="D901" t="s">
        <v>30</v>
      </c>
      <c r="E901">
        <v>3913</v>
      </c>
      <c r="F901">
        <v>9812</v>
      </c>
      <c r="G901">
        <v>4674</v>
      </c>
      <c r="H901">
        <v>2405</v>
      </c>
      <c r="I901" t="s">
        <v>28</v>
      </c>
      <c r="J901" s="21">
        <f ca="1">DATE(Table2[[#This Row],[Year]],MONTH(1 &amp; Table2[[#This Row],[Month]]),RANDBETWEEN(1,30))</f>
        <v>46004</v>
      </c>
      <c r="L901" s="2">
        <v>2020</v>
      </c>
      <c r="M901" s="2" t="s">
        <v>60</v>
      </c>
      <c r="N901" s="2">
        <v>213106</v>
      </c>
      <c r="O901" s="2">
        <v>637199</v>
      </c>
      <c r="P901" s="2" t="s">
        <v>50</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11"/>
  <sheetViews>
    <sheetView topLeftCell="D126" zoomScaleNormal="100" workbookViewId="0">
      <selection activeCell="G142" sqref="G142"/>
    </sheetView>
  </sheetViews>
  <sheetFormatPr defaultRowHeight="14.25"/>
  <cols>
    <col min="1" max="1" width="13.125" bestFit="1" customWidth="1"/>
    <col min="2" max="2" width="14.125" bestFit="1" customWidth="1"/>
    <col min="3" max="3" width="14" bestFit="1" customWidth="1"/>
    <col min="4" max="4" width="22" bestFit="1" customWidth="1"/>
    <col min="5" max="5" width="16.75" bestFit="1" customWidth="1"/>
    <col min="6" max="6" width="14" bestFit="1" customWidth="1"/>
    <col min="7" max="7" width="20.5" bestFit="1" customWidth="1"/>
    <col min="8" max="11" width="8.875" bestFit="1" customWidth="1"/>
    <col min="12" max="12" width="7.875" bestFit="1" customWidth="1"/>
    <col min="13" max="13" width="7.875" style="2" bestFit="1" customWidth="1"/>
    <col min="14" max="14" width="9.375" style="2" customWidth="1"/>
    <col min="15" max="15" width="7.875" bestFit="1" customWidth="1"/>
    <col min="16" max="16" width="14" bestFit="1" customWidth="1"/>
    <col min="17" max="17" width="20.5" bestFit="1" customWidth="1"/>
    <col min="18" max="21" width="8.875" bestFit="1" customWidth="1"/>
    <col min="22" max="22" width="13.125" bestFit="1" customWidth="1"/>
    <col min="23" max="23" width="14" bestFit="1" customWidth="1"/>
    <col min="24" max="24" width="15" bestFit="1" customWidth="1"/>
    <col min="25" max="27" width="7.875" bestFit="1" customWidth="1"/>
    <col min="28" max="28" width="13.125" bestFit="1" customWidth="1"/>
    <col min="29" max="29" width="22" bestFit="1" customWidth="1"/>
    <col min="30" max="32" width="8.875" bestFit="1" customWidth="1"/>
    <col min="33" max="33" width="26.25" bestFit="1" customWidth="1"/>
    <col min="34" max="34" width="14" bestFit="1" customWidth="1"/>
    <col min="35" max="35" width="8" bestFit="1" customWidth="1"/>
    <col min="36" max="39" width="7.875" bestFit="1" customWidth="1"/>
    <col min="40" max="46" width="8.875" bestFit="1" customWidth="1"/>
    <col min="47" max="51" width="7.875" bestFit="1" customWidth="1"/>
    <col min="52" max="58" width="8.875" bestFit="1" customWidth="1"/>
    <col min="59" max="59" width="7.875" bestFit="1" customWidth="1"/>
    <col min="60" max="66" width="8.875" bestFit="1" customWidth="1"/>
    <col min="67" max="69" width="7.875" bestFit="1" customWidth="1"/>
    <col min="70" max="75" width="8.875" bestFit="1" customWidth="1"/>
    <col min="76" max="81" width="7.875" bestFit="1" customWidth="1"/>
    <col min="82" max="85" width="8.875" bestFit="1" customWidth="1"/>
    <col min="86" max="88" width="7.875" bestFit="1" customWidth="1"/>
    <col min="89" max="100" width="8.875" bestFit="1" customWidth="1"/>
    <col min="101" max="105" width="9.875" bestFit="1" customWidth="1"/>
    <col min="106" max="108" width="8.875" bestFit="1" customWidth="1"/>
    <col min="109" max="117" width="9.875" bestFit="1" customWidth="1"/>
    <col min="118" max="120" width="8.875" bestFit="1" customWidth="1"/>
    <col min="121" max="125" width="9.875" bestFit="1" customWidth="1"/>
    <col min="126" max="128" width="7.875" bestFit="1" customWidth="1"/>
    <col min="129" max="131" width="8.875" bestFit="1" customWidth="1"/>
    <col min="132" max="133" width="7.875" bestFit="1" customWidth="1"/>
    <col min="134" max="141" width="8.875" bestFit="1" customWidth="1"/>
    <col min="142" max="145" width="7.875" bestFit="1" customWidth="1"/>
    <col min="146" max="152" width="8.875" bestFit="1" customWidth="1"/>
    <col min="153" max="155" width="7.875" bestFit="1" customWidth="1"/>
    <col min="156" max="159" width="8.875" bestFit="1" customWidth="1"/>
    <col min="160" max="160" width="7.875" bestFit="1" customWidth="1"/>
    <col min="161" max="167" width="8.875" bestFit="1" customWidth="1"/>
    <col min="168" max="169" width="7.875" bestFit="1" customWidth="1"/>
    <col min="170" max="176" width="8.875" bestFit="1" customWidth="1"/>
    <col min="177" max="177" width="7.875" bestFit="1" customWidth="1"/>
    <col min="178" max="183" width="8.875" bestFit="1" customWidth="1"/>
    <col min="184" max="189" width="7.875" bestFit="1" customWidth="1"/>
    <col min="190" max="196" width="8.875" bestFit="1" customWidth="1"/>
    <col min="197" max="197" width="7.875" bestFit="1" customWidth="1"/>
    <col min="198" max="207" width="8.875" bestFit="1" customWidth="1"/>
    <col min="208" max="211" width="9.875" bestFit="1" customWidth="1"/>
    <col min="212" max="212" width="8.875" bestFit="1" customWidth="1"/>
    <col min="213" max="221" width="9.875" bestFit="1" customWidth="1"/>
    <col min="222" max="224" width="8.875" bestFit="1" customWidth="1"/>
    <col min="225" max="235" width="9.875" bestFit="1" customWidth="1"/>
    <col min="236" max="240" width="7.875" bestFit="1" customWidth="1"/>
    <col min="241" max="246" width="8.875" bestFit="1" customWidth="1"/>
    <col min="247" max="247" width="7.875" bestFit="1" customWidth="1"/>
    <col min="248" max="251" width="8.875" bestFit="1" customWidth="1"/>
    <col min="252" max="254" width="7.875" bestFit="1" customWidth="1"/>
    <col min="255" max="262" width="8.875" bestFit="1" customWidth="1"/>
    <col min="263" max="264" width="7.875" bestFit="1" customWidth="1"/>
    <col min="265" max="270" width="8.875" bestFit="1" customWidth="1"/>
    <col min="271" max="275" width="7.875" bestFit="1" customWidth="1"/>
    <col min="276" max="281" width="8.875" bestFit="1" customWidth="1"/>
    <col min="282" max="286" width="7.875" bestFit="1" customWidth="1"/>
    <col min="287" max="291" width="8.875" bestFit="1" customWidth="1"/>
    <col min="292" max="293" width="7.875" bestFit="1" customWidth="1"/>
    <col min="294" max="301" width="8.875" bestFit="1" customWidth="1"/>
    <col min="302" max="305" width="7.875" bestFit="1" customWidth="1"/>
    <col min="306" max="313" width="8.875" bestFit="1" customWidth="1"/>
    <col min="314" max="317" width="7.875" bestFit="1" customWidth="1"/>
    <col min="318" max="325" width="8.875" bestFit="1" customWidth="1"/>
    <col min="326" max="330" width="9.875" bestFit="1" customWidth="1"/>
    <col min="331" max="336" width="8.875" bestFit="1" customWidth="1"/>
    <col min="337" max="340" width="9.875" bestFit="1" customWidth="1"/>
    <col min="341" max="344" width="8.875" bestFit="1" customWidth="1"/>
    <col min="345" max="351" width="9.875" bestFit="1" customWidth="1"/>
    <col min="352" max="354" width="7.875" bestFit="1" customWidth="1"/>
    <col min="355" max="361" width="8.875" bestFit="1" customWidth="1"/>
    <col min="362" max="363" width="7.875" bestFit="1" customWidth="1"/>
    <col min="364" max="372" width="8.875" bestFit="1" customWidth="1"/>
    <col min="373" max="378" width="7.875" bestFit="1" customWidth="1"/>
    <col min="379" max="388" width="8.875" bestFit="1" customWidth="1"/>
    <col min="389" max="393" width="7.875" bestFit="1" customWidth="1"/>
    <col min="394" max="402" width="8.875" bestFit="1" customWidth="1"/>
    <col min="403" max="404" width="7.875" bestFit="1" customWidth="1"/>
    <col min="405" max="412" width="8.875" bestFit="1" customWidth="1"/>
    <col min="413" max="417" width="7.875" bestFit="1" customWidth="1"/>
    <col min="418" max="421" width="8.875" bestFit="1" customWidth="1"/>
    <col min="422" max="423" width="7.875" bestFit="1" customWidth="1"/>
    <col min="424" max="428" width="8.875" bestFit="1" customWidth="1"/>
    <col min="429" max="429" width="7.875" bestFit="1" customWidth="1"/>
    <col min="430" max="440" width="8.875" bestFit="1" customWidth="1"/>
    <col min="441" max="445" width="7.875" bestFit="1" customWidth="1"/>
    <col min="446" max="453" width="8.875" bestFit="1" customWidth="1"/>
    <col min="454" max="457" width="9.875" bestFit="1" customWidth="1"/>
    <col min="458" max="459" width="8.875" bestFit="1" customWidth="1"/>
    <col min="460" max="468" width="9.875" bestFit="1" customWidth="1"/>
    <col min="469" max="471" width="8.875" bestFit="1" customWidth="1"/>
    <col min="472" max="476" width="9.875" bestFit="1" customWidth="1"/>
    <col min="477" max="479" width="7.875" bestFit="1" customWidth="1"/>
    <col min="480" max="487" width="8.875" bestFit="1" customWidth="1"/>
    <col min="488" max="490" width="7.875" bestFit="1" customWidth="1"/>
    <col min="491" max="497" width="8.875" bestFit="1" customWidth="1"/>
    <col min="498" max="500" width="7.875" bestFit="1" customWidth="1"/>
    <col min="501" max="507" width="8.875" bestFit="1" customWidth="1"/>
    <col min="508" max="509" width="7.875" bestFit="1" customWidth="1"/>
    <col min="510" max="515" width="8.875" bestFit="1" customWidth="1"/>
    <col min="516" max="519" width="7.875" bestFit="1" customWidth="1"/>
    <col min="520" max="524" width="8.875" bestFit="1" customWidth="1"/>
    <col min="525" max="526" width="7.875" bestFit="1" customWidth="1"/>
    <col min="527" max="531" width="8.875" bestFit="1" customWidth="1"/>
    <col min="532" max="533" width="7.875" bestFit="1" customWidth="1"/>
    <col min="534" max="539" width="8.875" bestFit="1" customWidth="1"/>
    <col min="540" max="544" width="7.875" bestFit="1" customWidth="1"/>
    <col min="545" max="551" width="8.875" bestFit="1" customWidth="1"/>
    <col min="552" max="554" width="7.875" bestFit="1" customWidth="1"/>
    <col min="555" max="565" width="8.875" bestFit="1" customWidth="1"/>
    <col min="566" max="581" width="9.875" bestFit="1" customWidth="1"/>
    <col min="582" max="583" width="8.875" bestFit="1" customWidth="1"/>
    <col min="584" max="592" width="9.875" bestFit="1" customWidth="1"/>
    <col min="593" max="593" width="7.875" bestFit="1" customWidth="1"/>
    <col min="594" max="603" width="8.875" bestFit="1" customWidth="1"/>
    <col min="604" max="605" width="7.875" bestFit="1" customWidth="1"/>
    <col min="606" max="612" width="8.875" bestFit="1" customWidth="1"/>
    <col min="613" max="614" width="7.875" bestFit="1" customWidth="1"/>
    <col min="615" max="622" width="8.875" bestFit="1" customWidth="1"/>
    <col min="623" max="623" width="7.875" bestFit="1" customWidth="1"/>
    <col min="624" max="627" width="8.875" bestFit="1" customWidth="1"/>
    <col min="628" max="630" width="7.875" bestFit="1" customWidth="1"/>
    <col min="631" max="639" width="8.875" bestFit="1" customWidth="1"/>
    <col min="640" max="645" width="7.875" bestFit="1" customWidth="1"/>
    <col min="646" max="652" width="8.875" bestFit="1" customWidth="1"/>
    <col min="653" max="655" width="7.875" bestFit="1" customWidth="1"/>
    <col min="656" max="661" width="8.875" bestFit="1" customWidth="1"/>
    <col min="662" max="667" width="7.875" bestFit="1" customWidth="1"/>
    <col min="668" max="676" width="8.875" bestFit="1" customWidth="1"/>
    <col min="677" max="683" width="7.875" bestFit="1" customWidth="1"/>
    <col min="684" max="694" width="8.875" bestFit="1" customWidth="1"/>
    <col min="695" max="700" width="9.875" bestFit="1" customWidth="1"/>
    <col min="701" max="702" width="8.875" bestFit="1" customWidth="1"/>
    <col min="703" max="711" width="9.875" bestFit="1" customWidth="1"/>
    <col min="712" max="714" width="8.875" bestFit="1" customWidth="1"/>
    <col min="715" max="720" width="9.875" bestFit="1" customWidth="1"/>
    <col min="721" max="721" width="9.375" bestFit="1" customWidth="1"/>
    <col min="722" max="724" width="8" bestFit="1" customWidth="1"/>
    <col min="725" max="730" width="8.875" bestFit="1" customWidth="1"/>
    <col min="731" max="734" width="8" bestFit="1" customWidth="1"/>
    <col min="735" max="743" width="8.875" bestFit="1" customWidth="1"/>
    <col min="744" max="747" width="8" bestFit="1" customWidth="1"/>
    <col min="748" max="754" width="8.875" bestFit="1" customWidth="1"/>
    <col min="755" max="758" width="8" bestFit="1" customWidth="1"/>
    <col min="759" max="765" width="8.875" bestFit="1" customWidth="1"/>
    <col min="766" max="770" width="8" bestFit="1" customWidth="1"/>
    <col min="771" max="777" width="8.875" bestFit="1" customWidth="1"/>
    <col min="778" max="778" width="8" bestFit="1" customWidth="1"/>
    <col min="779" max="785" width="8.875" bestFit="1" customWidth="1"/>
    <col min="786" max="788" width="8" bestFit="1" customWidth="1"/>
    <col min="789" max="794" width="8.875" bestFit="1" customWidth="1"/>
    <col min="795" max="800" width="8" bestFit="1" customWidth="1"/>
    <col min="801" max="804" width="8.875" bestFit="1" customWidth="1"/>
    <col min="805" max="807" width="8" bestFit="1" customWidth="1"/>
    <col min="808" max="819" width="8.875" bestFit="1" customWidth="1"/>
    <col min="820" max="824" width="9.875" bestFit="1" customWidth="1"/>
    <col min="825" max="827" width="8.875" bestFit="1" customWidth="1"/>
    <col min="828" max="836" width="9.875" bestFit="1" customWidth="1"/>
    <col min="837" max="839" width="8.875" bestFit="1" customWidth="1"/>
    <col min="840" max="844" width="9.875" bestFit="1" customWidth="1"/>
    <col min="845" max="847" width="8" bestFit="1" customWidth="1"/>
    <col min="848" max="850" width="8.875" bestFit="1" customWidth="1"/>
    <col min="851" max="852" width="8" bestFit="1" customWidth="1"/>
    <col min="853" max="860" width="8.875" bestFit="1" customWidth="1"/>
    <col min="861" max="864" width="8" bestFit="1" customWidth="1"/>
    <col min="865" max="871" width="8.875" bestFit="1" customWidth="1"/>
    <col min="872" max="874" width="8" bestFit="1" customWidth="1"/>
    <col min="875" max="878" width="8.875" bestFit="1" customWidth="1"/>
    <col min="879" max="879" width="8" bestFit="1" customWidth="1"/>
    <col min="880" max="886" width="8.875" bestFit="1" customWidth="1"/>
    <col min="887" max="888" width="8" bestFit="1" customWidth="1"/>
    <col min="889" max="895" width="8.875" bestFit="1" customWidth="1"/>
    <col min="896" max="896" width="8" bestFit="1" customWidth="1"/>
    <col min="897" max="902" width="8.875" bestFit="1" customWidth="1"/>
    <col min="903" max="908" width="8" bestFit="1" customWidth="1"/>
    <col min="909" max="915" width="8.875" bestFit="1" customWidth="1"/>
    <col min="916" max="916" width="8" bestFit="1" customWidth="1"/>
    <col min="917" max="926" width="8.875" bestFit="1" customWidth="1"/>
    <col min="927" max="930" width="9.875" bestFit="1" customWidth="1"/>
    <col min="931" max="931" width="8.875" bestFit="1" customWidth="1"/>
    <col min="932" max="940" width="9.875" bestFit="1" customWidth="1"/>
    <col min="941" max="943" width="8.875" bestFit="1" customWidth="1"/>
    <col min="944" max="954" width="9.875" bestFit="1" customWidth="1"/>
    <col min="955" max="959" width="8" bestFit="1" customWidth="1"/>
    <col min="960" max="965" width="8.875" bestFit="1" customWidth="1"/>
    <col min="966" max="966" width="8" bestFit="1" customWidth="1"/>
    <col min="967" max="970" width="8.875" bestFit="1" customWidth="1"/>
    <col min="971" max="973" width="8" bestFit="1" customWidth="1"/>
    <col min="974" max="981" width="8.875" bestFit="1" customWidth="1"/>
    <col min="982" max="983" width="8" bestFit="1" customWidth="1"/>
    <col min="984" max="989" width="8.875" bestFit="1" customWidth="1"/>
    <col min="990" max="994" width="8" bestFit="1" customWidth="1"/>
    <col min="995" max="1000" width="8.875" bestFit="1" customWidth="1"/>
    <col min="1001" max="1005" width="8" bestFit="1" customWidth="1"/>
    <col min="1006" max="1010" width="8.875" bestFit="1" customWidth="1"/>
    <col min="1011" max="1012" width="8" bestFit="1" customWidth="1"/>
    <col min="1013" max="1020" width="8.875" bestFit="1" customWidth="1"/>
    <col min="1021" max="1024" width="8" bestFit="1" customWidth="1"/>
    <col min="1025" max="1032" width="8.875" bestFit="1" customWidth="1"/>
    <col min="1033" max="1036" width="8" bestFit="1" customWidth="1"/>
    <col min="1037" max="1044" width="8.875" bestFit="1" customWidth="1"/>
    <col min="1045" max="1049" width="9.875" bestFit="1" customWidth="1"/>
    <col min="1050" max="1055" width="8.875" bestFit="1" customWidth="1"/>
    <col min="1056" max="1059" width="9.875" bestFit="1" customWidth="1"/>
    <col min="1060" max="1063" width="8.875" bestFit="1" customWidth="1"/>
    <col min="1064" max="1070" width="9.875" bestFit="1" customWidth="1"/>
    <col min="1071" max="1073" width="8" bestFit="1" customWidth="1"/>
    <col min="1074" max="1080" width="8.875" bestFit="1" customWidth="1"/>
    <col min="1081" max="1082" width="8" bestFit="1" customWidth="1"/>
    <col min="1083" max="1091" width="8.875" bestFit="1" customWidth="1"/>
    <col min="1092" max="1097" width="8" bestFit="1" customWidth="1"/>
    <col min="1098" max="1107" width="8.875" bestFit="1" customWidth="1"/>
    <col min="1108" max="1112" width="8" bestFit="1" customWidth="1"/>
    <col min="1113" max="1121" width="8.875" bestFit="1" customWidth="1"/>
    <col min="1122" max="1123" width="8" bestFit="1" customWidth="1"/>
    <col min="1124" max="1131" width="8.875" bestFit="1" customWidth="1"/>
    <col min="1132" max="1136" width="8" bestFit="1" customWidth="1"/>
    <col min="1137" max="1140" width="8.875" bestFit="1" customWidth="1"/>
    <col min="1141" max="1142" width="8" bestFit="1" customWidth="1"/>
    <col min="1143" max="1147" width="8.875" bestFit="1" customWidth="1"/>
    <col min="1148" max="1148" width="8" bestFit="1" customWidth="1"/>
    <col min="1149" max="1159" width="8.875" bestFit="1" customWidth="1"/>
    <col min="1160" max="1164" width="8" bestFit="1" customWidth="1"/>
    <col min="1165" max="1172" width="8.875" bestFit="1" customWidth="1"/>
    <col min="1173" max="1176" width="9.875" bestFit="1" customWidth="1"/>
    <col min="1177" max="1178" width="8.875" bestFit="1" customWidth="1"/>
    <col min="1179" max="1187" width="9.875" bestFit="1" customWidth="1"/>
    <col min="1188" max="1190" width="8.875" bestFit="1" customWidth="1"/>
    <col min="1191" max="1195" width="9.875" bestFit="1" customWidth="1"/>
    <col min="1196" max="1198" width="8" bestFit="1" customWidth="1"/>
    <col min="1199" max="1206" width="8.875" bestFit="1" customWidth="1"/>
    <col min="1207" max="1209" width="8" bestFit="1" customWidth="1"/>
    <col min="1210" max="1216" width="8.875" bestFit="1" customWidth="1"/>
    <col min="1217" max="1219" width="8" bestFit="1" customWidth="1"/>
    <col min="1220" max="1226" width="8.875" bestFit="1" customWidth="1"/>
    <col min="1227" max="1228" width="8" bestFit="1" customWidth="1"/>
    <col min="1229" max="1234" width="8.875" bestFit="1" customWidth="1"/>
    <col min="1235" max="1238" width="8" bestFit="1" customWidth="1"/>
    <col min="1239" max="1243" width="8.875" bestFit="1" customWidth="1"/>
    <col min="1244" max="1245" width="8" bestFit="1" customWidth="1"/>
    <col min="1246" max="1250" width="8.875" bestFit="1" customWidth="1"/>
    <col min="1251" max="1252" width="8" bestFit="1" customWidth="1"/>
    <col min="1253" max="1258" width="8.875" bestFit="1" customWidth="1"/>
    <col min="1259" max="1263" width="8" bestFit="1" customWidth="1"/>
    <col min="1264" max="1270" width="8.875" bestFit="1" customWidth="1"/>
    <col min="1271" max="1273" width="8" bestFit="1" customWidth="1"/>
    <col min="1274" max="1284" width="8.875" bestFit="1" customWidth="1"/>
    <col min="1285" max="1300" width="9.875" bestFit="1" customWidth="1"/>
    <col min="1301" max="1302" width="8.875" bestFit="1" customWidth="1"/>
    <col min="1303" max="1311" width="9.875" bestFit="1" customWidth="1"/>
    <col min="1312" max="1312" width="8" bestFit="1" customWidth="1"/>
    <col min="1313" max="1322" width="8.875" bestFit="1" customWidth="1"/>
    <col min="1323" max="1324" width="8" bestFit="1" customWidth="1"/>
    <col min="1325" max="1331" width="8.875" bestFit="1" customWidth="1"/>
    <col min="1332" max="1333" width="8" bestFit="1" customWidth="1"/>
    <col min="1334" max="1341" width="8.875" bestFit="1" customWidth="1"/>
    <col min="1342" max="1342" width="8" bestFit="1" customWidth="1"/>
    <col min="1343" max="1346" width="8.875" bestFit="1" customWidth="1"/>
    <col min="1347" max="1349" width="8" bestFit="1" customWidth="1"/>
    <col min="1350" max="1358" width="8.875" bestFit="1" customWidth="1"/>
    <col min="1359" max="1364" width="8" bestFit="1" customWidth="1"/>
    <col min="1365" max="1371" width="8.875" bestFit="1" customWidth="1"/>
    <col min="1372" max="1374" width="8" bestFit="1" customWidth="1"/>
    <col min="1375" max="1380" width="8.875" bestFit="1" customWidth="1"/>
    <col min="1381" max="1386" width="8" bestFit="1" customWidth="1"/>
    <col min="1387" max="1395" width="8.875" bestFit="1" customWidth="1"/>
    <col min="1396" max="1402" width="8" bestFit="1" customWidth="1"/>
    <col min="1403" max="1413" width="8.875" bestFit="1" customWidth="1"/>
    <col min="1414" max="1419" width="9.875" bestFit="1" customWidth="1"/>
    <col min="1420" max="1421" width="8.875" bestFit="1" customWidth="1"/>
    <col min="1422" max="1430" width="9.875" bestFit="1" customWidth="1"/>
    <col min="1431" max="1433" width="8.875" bestFit="1" customWidth="1"/>
    <col min="1434" max="1439" width="9.875" bestFit="1" customWidth="1"/>
    <col min="1440" max="1440" width="19.125" bestFit="1" customWidth="1"/>
    <col min="1441" max="1441" width="14.5" bestFit="1" customWidth="1"/>
  </cols>
  <sheetData>
    <row r="1" spans="1:39">
      <c r="A1" s="6" t="s">
        <v>63</v>
      </c>
      <c r="B1" s="2" t="s">
        <v>64</v>
      </c>
      <c r="C1" s="2" t="s">
        <v>84</v>
      </c>
      <c r="D1" s="2" t="s">
        <v>74</v>
      </c>
      <c r="E1" s="2" t="s">
        <v>75</v>
      </c>
    </row>
    <row r="2" spans="1:39">
      <c r="A2" s="7" t="s">
        <v>10</v>
      </c>
      <c r="B2" s="8">
        <v>155043</v>
      </c>
      <c r="C2" s="14">
        <v>0.1864606947643129</v>
      </c>
      <c r="D2" s="8">
        <v>41322</v>
      </c>
      <c r="E2" s="14">
        <v>0.15978376873462949</v>
      </c>
    </row>
    <row r="3" spans="1:39">
      <c r="A3" s="7" t="s">
        <v>23</v>
      </c>
      <c r="B3" s="8">
        <v>123638</v>
      </c>
      <c r="C3" s="14">
        <v>0.14869182987474519</v>
      </c>
      <c r="D3" s="8">
        <v>37287</v>
      </c>
      <c r="E3" s="14">
        <v>0.14418124448981487</v>
      </c>
      <c r="H3" s="11" t="s">
        <v>65</v>
      </c>
      <c r="I3" s="11" t="s">
        <v>66</v>
      </c>
      <c r="J3" s="13" t="s">
        <v>67</v>
      </c>
      <c r="K3" s="13" t="s">
        <v>68</v>
      </c>
      <c r="L3" s="13" t="s">
        <v>69</v>
      </c>
      <c r="M3" s="13" t="s">
        <v>76</v>
      </c>
      <c r="N3" s="13" t="s">
        <v>77</v>
      </c>
      <c r="O3" s="13" t="s">
        <v>84</v>
      </c>
    </row>
    <row r="4" spans="1:39">
      <c r="A4" s="7" t="s">
        <v>25</v>
      </c>
      <c r="B4" s="8">
        <v>141331</v>
      </c>
      <c r="C4" s="14">
        <v>0.16997011443106175</v>
      </c>
      <c r="D4" s="8">
        <v>48824</v>
      </c>
      <c r="E4" s="14">
        <v>0.1887924767605525</v>
      </c>
      <c r="G4" s="9" t="s">
        <v>10</v>
      </c>
      <c r="H4" s="12">
        <v>1</v>
      </c>
      <c r="I4" s="12">
        <v>3</v>
      </c>
      <c r="J4" s="12">
        <f t="shared" ref="J4:J9" si="0">B2</f>
        <v>155043</v>
      </c>
      <c r="K4" s="12" t="str">
        <f t="shared" ref="K4:K9" si="1">IF($J4=MAX($J$4:$J$9),$J4,"")</f>
        <v/>
      </c>
      <c r="L4">
        <f t="shared" ref="L4:L9" si="2">IF($J4=MAX($J$4:$J$9),"",$J4)</f>
        <v>155043</v>
      </c>
      <c r="M4" s="15">
        <f>VLOOKUP($G4,$A$1:$E$7,4,0)</f>
        <v>41322</v>
      </c>
      <c r="N4" s="14">
        <f>VLOOKUP($G4,$A$1:$E$7,5,0)</f>
        <v>0.15978376873462949</v>
      </c>
      <c r="O4" s="20">
        <f>VLOOKUP($G4,$A$1:$E$7,3,0)</f>
        <v>0.1864606947643129</v>
      </c>
      <c r="P4" s="2" t="s">
        <v>64</v>
      </c>
      <c r="Q4" s="2" t="s">
        <v>70</v>
      </c>
      <c r="S4" s="13" t="s">
        <v>71</v>
      </c>
      <c r="T4" s="13" t="s">
        <v>46</v>
      </c>
      <c r="V4" s="6" t="s">
        <v>63</v>
      </c>
      <c r="W4" s="2" t="s">
        <v>64</v>
      </c>
      <c r="X4" s="2" t="s">
        <v>73</v>
      </c>
      <c r="Z4" s="13" t="s">
        <v>78</v>
      </c>
      <c r="AB4" s="6" t="s">
        <v>63</v>
      </c>
      <c r="AC4" t="s">
        <v>79</v>
      </c>
      <c r="AE4" s="13" t="s">
        <v>81</v>
      </c>
      <c r="AG4" s="6" t="s">
        <v>63</v>
      </c>
      <c r="AH4" s="2" t="s">
        <v>64</v>
      </c>
      <c r="AI4" s="2" t="s">
        <v>82</v>
      </c>
    </row>
    <row r="5" spans="1:39">
      <c r="A5" s="7" t="s">
        <v>21</v>
      </c>
      <c r="B5" s="8">
        <v>155344</v>
      </c>
      <c r="C5" s="14">
        <v>0.18682268897962129</v>
      </c>
      <c r="D5" s="8">
        <v>43393</v>
      </c>
      <c r="E5" s="14">
        <v>0.16779190447465703</v>
      </c>
      <c r="G5" s="9" t="s">
        <v>23</v>
      </c>
      <c r="H5" s="12">
        <v>7</v>
      </c>
      <c r="I5" s="12">
        <v>2</v>
      </c>
      <c r="J5" s="12">
        <f t="shared" si="0"/>
        <v>123638</v>
      </c>
      <c r="K5" s="12" t="str">
        <f t="shared" si="1"/>
        <v/>
      </c>
      <c r="L5" s="2">
        <f t="shared" si="2"/>
        <v>123638</v>
      </c>
      <c r="M5" s="15">
        <f t="shared" ref="M5:M9" si="3">VLOOKUP($G5,$A$1:$E$7,4,0)</f>
        <v>37287</v>
      </c>
      <c r="N5" s="14">
        <f t="shared" ref="N5:N9" si="4">VLOOKUP($G5,$A$1:$E$7,5,0)</f>
        <v>0.14418124448981487</v>
      </c>
      <c r="O5" s="20">
        <f t="shared" ref="O5:O9" si="5">VLOOKUP($G5,$A$1:$E$7,3,0)</f>
        <v>0.14869182987474519</v>
      </c>
      <c r="P5" s="15">
        <v>831505</v>
      </c>
      <c r="Q5" s="15">
        <v>1014464</v>
      </c>
      <c r="S5" s="14">
        <f>$P$5/$Q$5</f>
        <v>0.81964958835404711</v>
      </c>
      <c r="T5" s="14">
        <f>1-S5</f>
        <v>0.18035041164595289</v>
      </c>
      <c r="V5" s="7" t="s">
        <v>9</v>
      </c>
      <c r="W5" s="15">
        <v>68039</v>
      </c>
      <c r="X5" s="8">
        <v>68039</v>
      </c>
      <c r="Z5" s="15">
        <f>AVERAGE($W$5:$W$16)</f>
        <v>69292.083333333328</v>
      </c>
      <c r="AB5" s="7" t="s">
        <v>9</v>
      </c>
      <c r="AC5" s="15">
        <v>13117</v>
      </c>
      <c r="AE5" s="15">
        <f>AC17</f>
        <v>229111</v>
      </c>
      <c r="AG5" s="7" t="s">
        <v>12</v>
      </c>
      <c r="AH5" s="15">
        <v>262044</v>
      </c>
      <c r="AI5" s="16">
        <v>0.45823744605247513</v>
      </c>
      <c r="AK5" s="13" t="s">
        <v>12</v>
      </c>
      <c r="AL5" s="15">
        <f>AH5</f>
        <v>262044</v>
      </c>
      <c r="AM5" s="16">
        <f>AI5</f>
        <v>0.45823744605247513</v>
      </c>
    </row>
    <row r="6" spans="1:39">
      <c r="A6" s="7" t="s">
        <v>29</v>
      </c>
      <c r="B6" s="8">
        <v>132528</v>
      </c>
      <c r="C6" s="14">
        <v>0.15938328693152778</v>
      </c>
      <c r="D6" s="8">
        <v>40532</v>
      </c>
      <c r="E6" s="14">
        <v>0.15672899942771409</v>
      </c>
      <c r="G6" s="9" t="s">
        <v>25</v>
      </c>
      <c r="H6" s="12">
        <v>4</v>
      </c>
      <c r="I6" s="12">
        <v>1</v>
      </c>
      <c r="J6" s="12">
        <f t="shared" si="0"/>
        <v>141331</v>
      </c>
      <c r="K6" s="12" t="str">
        <f t="shared" si="1"/>
        <v/>
      </c>
      <c r="L6" s="2">
        <f t="shared" si="2"/>
        <v>141331</v>
      </c>
      <c r="M6" s="15">
        <f t="shared" si="3"/>
        <v>48824</v>
      </c>
      <c r="N6" s="14">
        <f t="shared" si="4"/>
        <v>0.1887924767605525</v>
      </c>
      <c r="O6" s="20">
        <f t="shared" si="5"/>
        <v>0.16997011443106175</v>
      </c>
      <c r="V6" s="7" t="s">
        <v>19</v>
      </c>
      <c r="W6" s="15">
        <v>103772</v>
      </c>
      <c r="X6" s="8">
        <v>103772</v>
      </c>
      <c r="AB6" s="7" t="s">
        <v>19</v>
      </c>
      <c r="AC6" s="15">
        <v>24899</v>
      </c>
      <c r="AG6" s="7" t="s">
        <v>28</v>
      </c>
      <c r="AH6" s="15">
        <v>309808</v>
      </c>
      <c r="AI6" s="16">
        <v>0.54176255394752493</v>
      </c>
      <c r="AK6" s="13" t="s">
        <v>28</v>
      </c>
      <c r="AL6" s="15">
        <f>AH6</f>
        <v>309808</v>
      </c>
      <c r="AM6" s="16">
        <f>AI6</f>
        <v>0.54176255394752493</v>
      </c>
    </row>
    <row r="7" spans="1:39">
      <c r="A7" s="7" t="s">
        <v>15</v>
      </c>
      <c r="B7" s="8">
        <v>123621</v>
      </c>
      <c r="C7" s="14">
        <v>0.14867138501873109</v>
      </c>
      <c r="D7" s="8">
        <v>47254</v>
      </c>
      <c r="E7" s="14">
        <v>0.18272160611263205</v>
      </c>
      <c r="G7" s="9" t="s">
        <v>21</v>
      </c>
      <c r="H7" s="12">
        <v>2</v>
      </c>
      <c r="I7" s="12">
        <v>8</v>
      </c>
      <c r="J7" s="12">
        <f t="shared" si="0"/>
        <v>155344</v>
      </c>
      <c r="K7" s="12">
        <f t="shared" si="1"/>
        <v>155344</v>
      </c>
      <c r="L7" s="2" t="str">
        <f t="shared" si="2"/>
        <v/>
      </c>
      <c r="M7" s="15">
        <f t="shared" si="3"/>
        <v>43393</v>
      </c>
      <c r="N7" s="14">
        <f t="shared" si="4"/>
        <v>0.16779190447465703</v>
      </c>
      <c r="O7" s="20">
        <f t="shared" si="5"/>
        <v>0.18682268897962129</v>
      </c>
      <c r="V7" s="7" t="s">
        <v>36</v>
      </c>
      <c r="W7" s="15">
        <v>70105</v>
      </c>
      <c r="X7" s="8">
        <v>70105</v>
      </c>
      <c r="AB7" s="7" t="s">
        <v>36</v>
      </c>
      <c r="AC7" s="15">
        <v>15810</v>
      </c>
      <c r="AG7" s="7" t="s">
        <v>80</v>
      </c>
      <c r="AH7" s="15">
        <v>571852</v>
      </c>
      <c r="AI7" s="16">
        <v>1</v>
      </c>
      <c r="AL7" s="15"/>
    </row>
    <row r="8" spans="1:39">
      <c r="G8" s="9" t="s">
        <v>29</v>
      </c>
      <c r="H8" s="12">
        <v>6</v>
      </c>
      <c r="I8" s="12">
        <v>6</v>
      </c>
      <c r="J8" s="12">
        <f t="shared" si="0"/>
        <v>132528</v>
      </c>
      <c r="K8" s="12" t="str">
        <f t="shared" si="1"/>
        <v/>
      </c>
      <c r="L8" s="2">
        <f t="shared" si="2"/>
        <v>132528</v>
      </c>
      <c r="M8" s="15">
        <f t="shared" si="3"/>
        <v>40532</v>
      </c>
      <c r="N8" s="14">
        <f t="shared" si="4"/>
        <v>0.15672899942771409</v>
      </c>
      <c r="O8" s="20">
        <f t="shared" si="5"/>
        <v>0.15938328693152778</v>
      </c>
      <c r="V8" s="7" t="s">
        <v>14</v>
      </c>
      <c r="W8" s="15">
        <v>84134</v>
      </c>
      <c r="X8" s="8">
        <v>84134</v>
      </c>
      <c r="AB8" s="7" t="s">
        <v>14</v>
      </c>
      <c r="AC8" s="15">
        <v>22147</v>
      </c>
    </row>
    <row r="9" spans="1:39" ht="15" thickBot="1">
      <c r="G9" s="10" t="s">
        <v>15</v>
      </c>
      <c r="H9" s="12">
        <v>5</v>
      </c>
      <c r="I9" s="12">
        <v>9</v>
      </c>
      <c r="J9" s="12">
        <f t="shared" si="0"/>
        <v>123621</v>
      </c>
      <c r="K9" s="12" t="str">
        <f t="shared" si="1"/>
        <v/>
      </c>
      <c r="L9" s="2">
        <f t="shared" si="2"/>
        <v>123621</v>
      </c>
      <c r="M9" s="15">
        <f t="shared" si="3"/>
        <v>47254</v>
      </c>
      <c r="N9" s="14">
        <f t="shared" si="4"/>
        <v>0.18272160611263205</v>
      </c>
      <c r="O9" s="20">
        <f t="shared" si="5"/>
        <v>0.14867138501873109</v>
      </c>
      <c r="V9" s="7" t="s">
        <v>33</v>
      </c>
      <c r="W9" s="15">
        <v>49511</v>
      </c>
      <c r="X9" s="8">
        <v>49511</v>
      </c>
      <c r="AB9" s="7" t="s">
        <v>33</v>
      </c>
      <c r="AC9" s="15">
        <v>14925</v>
      </c>
    </row>
    <row r="10" spans="1:39">
      <c r="O10" s="14">
        <f>SUM(O4:O9)</f>
        <v>1</v>
      </c>
      <c r="V10" s="7" t="s">
        <v>27</v>
      </c>
      <c r="W10" s="15">
        <v>32165</v>
      </c>
      <c r="X10" s="8">
        <v>32165</v>
      </c>
      <c r="AB10" s="7" t="s">
        <v>27</v>
      </c>
      <c r="AC10" s="15">
        <v>13824</v>
      </c>
    </row>
    <row r="11" spans="1:39">
      <c r="V11" s="7" t="s">
        <v>40</v>
      </c>
      <c r="W11" s="15">
        <v>62268</v>
      </c>
      <c r="X11" s="8">
        <v>62268</v>
      </c>
      <c r="AB11" s="7" t="s">
        <v>40</v>
      </c>
      <c r="AC11" s="15">
        <v>18742</v>
      </c>
      <c r="AG11" s="6" t="s">
        <v>63</v>
      </c>
      <c r="AH11" s="2" t="s">
        <v>64</v>
      </c>
      <c r="AI11" s="2" t="s">
        <v>82</v>
      </c>
      <c r="AK11" s="18"/>
    </row>
    <row r="12" spans="1:39">
      <c r="A12" s="9" t="s">
        <v>10</v>
      </c>
      <c r="V12" s="7" t="s">
        <v>31</v>
      </c>
      <c r="W12" s="15">
        <v>66842</v>
      </c>
      <c r="X12" s="8">
        <v>66842</v>
      </c>
      <c r="AB12" s="7" t="s">
        <v>31</v>
      </c>
      <c r="AC12" s="15">
        <v>23466</v>
      </c>
      <c r="AG12" s="7" t="s">
        <v>10</v>
      </c>
      <c r="AH12" s="15"/>
      <c r="AI12" s="16"/>
      <c r="AK12" s="18"/>
      <c r="AL12" s="2"/>
    </row>
    <row r="13" spans="1:39">
      <c r="A13" s="9" t="s">
        <v>23</v>
      </c>
      <c r="V13" s="7" t="s">
        <v>13</v>
      </c>
      <c r="W13" s="15">
        <v>90725</v>
      </c>
      <c r="X13" s="8">
        <v>90725</v>
      </c>
      <c r="AB13" s="7" t="s">
        <v>13</v>
      </c>
      <c r="AC13" s="15">
        <v>19194</v>
      </c>
      <c r="AG13" s="17" t="s">
        <v>23</v>
      </c>
      <c r="AH13" s="15">
        <v>3635</v>
      </c>
      <c r="AI13" s="16">
        <v>4.3715912712491206E-3</v>
      </c>
      <c r="AK13" s="18"/>
      <c r="AL13" s="2"/>
    </row>
    <row r="14" spans="1:39">
      <c r="A14" s="9" t="s">
        <v>25</v>
      </c>
      <c r="M14"/>
      <c r="V14" s="7" t="s">
        <v>24</v>
      </c>
      <c r="W14" s="15">
        <v>110420</v>
      </c>
      <c r="X14" s="8">
        <v>110420</v>
      </c>
      <c r="AB14" s="7" t="s">
        <v>24</v>
      </c>
      <c r="AC14" s="15">
        <v>26230</v>
      </c>
      <c r="AG14" s="17" t="s">
        <v>17</v>
      </c>
      <c r="AH14" s="15">
        <v>9305</v>
      </c>
      <c r="AI14" s="16">
        <v>1.119055207124431E-2</v>
      </c>
      <c r="AK14" s="18"/>
      <c r="AL14" s="2"/>
    </row>
    <row r="15" spans="1:39">
      <c r="A15" s="9" t="s">
        <v>21</v>
      </c>
      <c r="M15"/>
      <c r="V15" s="7" t="s">
        <v>32</v>
      </c>
      <c r="W15" s="15">
        <v>28892</v>
      </c>
      <c r="X15" s="8">
        <v>28892</v>
      </c>
      <c r="AB15" s="7" t="s">
        <v>32</v>
      </c>
      <c r="AC15" s="15">
        <v>7952</v>
      </c>
      <c r="AG15" s="17" t="s">
        <v>42</v>
      </c>
      <c r="AH15" s="15">
        <v>12387</v>
      </c>
      <c r="AI15" s="16">
        <v>1.4897084202740813E-2</v>
      </c>
      <c r="AK15" s="18"/>
      <c r="AL15" s="2"/>
    </row>
    <row r="16" spans="1:39">
      <c r="A16" s="9" t="s">
        <v>29</v>
      </c>
      <c r="M16"/>
      <c r="V16" s="7" t="s">
        <v>41</v>
      </c>
      <c r="W16" s="15">
        <v>64632</v>
      </c>
      <c r="X16" s="8">
        <v>64632</v>
      </c>
      <c r="AB16" s="7" t="s">
        <v>41</v>
      </c>
      <c r="AC16" s="15">
        <v>28805</v>
      </c>
      <c r="AG16" s="17" t="s">
        <v>39</v>
      </c>
      <c r="AH16" s="15">
        <v>21410</v>
      </c>
      <c r="AI16" s="16">
        <v>2.574849219186896E-2</v>
      </c>
      <c r="AK16" s="18"/>
      <c r="AL16" s="2"/>
    </row>
    <row r="17" spans="1:38" ht="15" thickBot="1">
      <c r="A17" s="10" t="s">
        <v>15</v>
      </c>
      <c r="M17"/>
      <c r="AB17" s="7" t="s">
        <v>80</v>
      </c>
      <c r="AC17" s="15">
        <v>229111</v>
      </c>
      <c r="AG17" s="17" t="s">
        <v>37</v>
      </c>
      <c r="AH17" s="15">
        <v>17673</v>
      </c>
      <c r="AI17" s="16">
        <v>2.1254231784535272E-2</v>
      </c>
      <c r="AK17" s="18"/>
      <c r="AL17" s="2"/>
    </row>
    <row r="18" spans="1:38">
      <c r="M18"/>
      <c r="AG18" s="17" t="s">
        <v>35</v>
      </c>
      <c r="AH18" s="15">
        <v>19528</v>
      </c>
      <c r="AI18" s="16">
        <v>2.3485126367249747E-2</v>
      </c>
      <c r="AK18" s="18"/>
      <c r="AL18" s="2"/>
    </row>
    <row r="19" spans="1:38">
      <c r="M19"/>
      <c r="T19" t="s">
        <v>83</v>
      </c>
      <c r="AG19" s="17" t="s">
        <v>30</v>
      </c>
      <c r="AH19" s="15">
        <v>11840</v>
      </c>
      <c r="AI19" s="16">
        <v>1.4239240894522583E-2</v>
      </c>
      <c r="AK19" s="18"/>
      <c r="AL19" s="2"/>
    </row>
    <row r="20" spans="1:38">
      <c r="M20"/>
      <c r="T20">
        <v>1</v>
      </c>
      <c r="U20" s="2"/>
      <c r="AG20" s="17" t="s">
        <v>20</v>
      </c>
      <c r="AH20" s="15">
        <v>16896</v>
      </c>
      <c r="AI20" s="16">
        <v>2.0319781600832226E-2</v>
      </c>
      <c r="AK20" s="18"/>
      <c r="AL20" s="2"/>
    </row>
    <row r="21" spans="1:38">
      <c r="M21"/>
      <c r="T21" s="2">
        <v>1</v>
      </c>
      <c r="U21" s="2"/>
      <c r="AG21" s="17" t="s">
        <v>34</v>
      </c>
      <c r="AH21" s="15">
        <v>9511</v>
      </c>
      <c r="AI21" s="16">
        <v>1.1438295620591577E-2</v>
      </c>
      <c r="AK21" s="18"/>
      <c r="AL21" s="2"/>
    </row>
    <row r="22" spans="1:38">
      <c r="M22"/>
      <c r="T22" s="2">
        <v>1</v>
      </c>
      <c r="U22" s="2"/>
      <c r="AG22" s="17" t="s">
        <v>38</v>
      </c>
      <c r="AH22" s="15">
        <v>1248</v>
      </c>
      <c r="AI22" s="16">
        <v>1.5008929591523803E-3</v>
      </c>
      <c r="AK22" s="18"/>
      <c r="AL22" s="2"/>
    </row>
    <row r="23" spans="1:38">
      <c r="M23"/>
      <c r="T23" s="2">
        <v>1</v>
      </c>
      <c r="U23" s="2"/>
      <c r="AG23" s="17" t="s">
        <v>26</v>
      </c>
      <c r="AH23" s="15">
        <v>17210</v>
      </c>
      <c r="AI23" s="16">
        <v>2.0697410117798451E-2</v>
      </c>
      <c r="AK23" s="18"/>
      <c r="AL23" s="2"/>
    </row>
    <row r="24" spans="1:38">
      <c r="M24"/>
      <c r="T24" s="2">
        <v>1</v>
      </c>
      <c r="U24" s="2"/>
      <c r="AG24" s="17" t="s">
        <v>43</v>
      </c>
      <c r="AH24" s="15">
        <v>7990</v>
      </c>
      <c r="AI24" s="16">
        <v>9.6090823266246142E-3</v>
      </c>
      <c r="AK24" s="18"/>
      <c r="AL24" s="2"/>
    </row>
    <row r="25" spans="1:38" ht="15" thickBot="1">
      <c r="M25"/>
      <c r="T25" s="2">
        <v>1</v>
      </c>
      <c r="U25" s="2"/>
      <c r="AG25" s="17" t="s">
        <v>16</v>
      </c>
      <c r="AH25" s="15">
        <v>6410</v>
      </c>
      <c r="AI25" s="16">
        <v>7.708913355902851E-3</v>
      </c>
      <c r="AK25" s="19"/>
      <c r="AL25" s="2"/>
    </row>
    <row r="26" spans="1:38">
      <c r="M26"/>
      <c r="T26" s="2">
        <v>1</v>
      </c>
      <c r="U26" s="2"/>
      <c r="AG26" s="7" t="s">
        <v>23</v>
      </c>
      <c r="AH26" s="15"/>
      <c r="AI26" s="16"/>
      <c r="AK26" s="18"/>
      <c r="AL26" s="2"/>
    </row>
    <row r="27" spans="1:38">
      <c r="M27"/>
      <c r="T27" s="2">
        <v>1</v>
      </c>
      <c r="U27" s="2"/>
      <c r="AG27" s="17" t="s">
        <v>17</v>
      </c>
      <c r="AH27" s="15">
        <v>7017</v>
      </c>
      <c r="AI27" s="16">
        <v>8.4389149794649454E-3</v>
      </c>
      <c r="AK27" s="18"/>
      <c r="AL27" s="2"/>
    </row>
    <row r="28" spans="1:38">
      <c r="M28"/>
      <c r="T28" s="2">
        <v>1</v>
      </c>
      <c r="U28" s="2"/>
      <c r="AG28" s="17" t="s">
        <v>22</v>
      </c>
      <c r="AH28" s="15">
        <v>4769</v>
      </c>
      <c r="AI28" s="16">
        <v>5.7353834312481589E-3</v>
      </c>
      <c r="AK28" s="18"/>
      <c r="AL28" s="2"/>
    </row>
    <row r="29" spans="1:38">
      <c r="M29"/>
      <c r="T29" s="2">
        <v>1</v>
      </c>
      <c r="U29" s="2"/>
      <c r="AG29" s="17" t="s">
        <v>42</v>
      </c>
      <c r="AH29" s="15">
        <v>14796</v>
      </c>
      <c r="AI29" s="16">
        <v>1.779424056379697E-2</v>
      </c>
      <c r="AK29" s="18"/>
      <c r="AL29" s="2"/>
    </row>
    <row r="30" spans="1:38">
      <c r="M30"/>
      <c r="T30" s="2">
        <v>1</v>
      </c>
      <c r="U30" s="2"/>
      <c r="AG30" s="17" t="s">
        <v>35</v>
      </c>
      <c r="AH30" s="15">
        <v>9717</v>
      </c>
      <c r="AI30" s="16">
        <v>1.1686039169938846E-2</v>
      </c>
      <c r="AK30" s="18"/>
      <c r="AL30" s="2"/>
    </row>
    <row r="31" spans="1:38">
      <c r="M31"/>
      <c r="T31" s="2">
        <v>1</v>
      </c>
      <c r="U31" s="2"/>
      <c r="AG31" s="17" t="s">
        <v>20</v>
      </c>
      <c r="AH31" s="15">
        <v>4371</v>
      </c>
      <c r="AI31" s="16">
        <v>5.2567332728005248E-3</v>
      </c>
    </row>
    <row r="32" spans="1:38">
      <c r="M32"/>
      <c r="T32" s="2">
        <v>1</v>
      </c>
      <c r="U32" s="2"/>
      <c r="AG32" s="17" t="s">
        <v>34</v>
      </c>
      <c r="AH32" s="15">
        <v>20880</v>
      </c>
      <c r="AI32" s="16">
        <v>2.5111093739664823E-2</v>
      </c>
    </row>
    <row r="33" spans="13:35">
      <c r="M33"/>
      <c r="T33" s="2">
        <v>1</v>
      </c>
      <c r="U33" s="2"/>
      <c r="AG33" s="17" t="s">
        <v>38</v>
      </c>
      <c r="AH33" s="15">
        <v>8064</v>
      </c>
      <c r="AI33" s="16">
        <v>9.6980775822153812E-3</v>
      </c>
    </row>
    <row r="34" spans="13:35">
      <c r="M34"/>
      <c r="T34" s="2">
        <v>1</v>
      </c>
      <c r="U34" s="2"/>
      <c r="AG34" s="17" t="s">
        <v>26</v>
      </c>
      <c r="AH34" s="15">
        <v>20010</v>
      </c>
      <c r="AI34" s="16">
        <v>2.406479816717879E-2</v>
      </c>
    </row>
    <row r="35" spans="13:35">
      <c r="M35"/>
      <c r="T35" s="2">
        <v>1</v>
      </c>
      <c r="U35" s="2"/>
      <c r="AG35" s="17" t="s">
        <v>43</v>
      </c>
      <c r="AH35" s="15">
        <v>23372</v>
      </c>
      <c r="AI35" s="16">
        <v>2.8108069103613329E-2</v>
      </c>
    </row>
    <row r="36" spans="13:35">
      <c r="M36"/>
      <c r="T36" s="2">
        <v>1</v>
      </c>
      <c r="U36" s="2"/>
      <c r="AG36" s="17" t="s">
        <v>16</v>
      </c>
      <c r="AH36" s="15">
        <v>10642</v>
      </c>
      <c r="AI36" s="16">
        <v>1.2798479864823423E-2</v>
      </c>
    </row>
    <row r="37" spans="13:35">
      <c r="M37"/>
      <c r="T37" s="2">
        <v>1</v>
      </c>
      <c r="U37" s="2"/>
      <c r="AG37" s="7" t="s">
        <v>25</v>
      </c>
      <c r="AH37" s="15"/>
      <c r="AI37" s="16"/>
    </row>
    <row r="38" spans="13:35">
      <c r="M38"/>
      <c r="T38" s="2">
        <v>1</v>
      </c>
      <c r="U38" s="2"/>
      <c r="AG38" s="17" t="s">
        <v>23</v>
      </c>
      <c r="AH38" s="15">
        <v>3022</v>
      </c>
      <c r="AI38" s="16">
        <v>3.6343738161526387E-3</v>
      </c>
    </row>
    <row r="39" spans="13:35">
      <c r="M39"/>
      <c r="T39" s="2">
        <v>1</v>
      </c>
      <c r="U39" s="2"/>
      <c r="AG39" s="17" t="s">
        <v>17</v>
      </c>
      <c r="AH39" s="15">
        <v>9955</v>
      </c>
      <c r="AI39" s="16">
        <v>1.1972267154136174E-2</v>
      </c>
    </row>
    <row r="40" spans="13:35">
      <c r="M40"/>
      <c r="T40" s="2">
        <v>1</v>
      </c>
      <c r="U40" s="2"/>
      <c r="AG40" s="17" t="s">
        <v>22</v>
      </c>
      <c r="AH40" s="15">
        <v>33963</v>
      </c>
      <c r="AI40" s="16">
        <v>4.0845214400394465E-2</v>
      </c>
    </row>
    <row r="41" spans="13:35">
      <c r="M41"/>
      <c r="T41" s="2">
        <v>1</v>
      </c>
      <c r="U41" s="2"/>
      <c r="AG41" s="17" t="s">
        <v>42</v>
      </c>
      <c r="AH41" s="15">
        <v>9759</v>
      </c>
      <c r="AI41" s="16">
        <v>1.1736549990679551E-2</v>
      </c>
    </row>
    <row r="42" spans="13:35">
      <c r="M42"/>
      <c r="T42" s="2">
        <v>1</v>
      </c>
      <c r="U42" s="2"/>
      <c r="AG42" s="17" t="s">
        <v>39</v>
      </c>
      <c r="AH42" s="15">
        <v>12727</v>
      </c>
      <c r="AI42" s="16">
        <v>1.5305981323022712E-2</v>
      </c>
    </row>
    <row r="43" spans="13:35">
      <c r="M43"/>
      <c r="T43" s="2">
        <v>1</v>
      </c>
      <c r="U43" s="2"/>
      <c r="AG43" s="17" t="s">
        <v>35</v>
      </c>
      <c r="AH43" s="15">
        <v>21540</v>
      </c>
      <c r="AI43" s="16">
        <v>2.5904835208447333E-2</v>
      </c>
    </row>
    <row r="44" spans="13:35">
      <c r="M44"/>
      <c r="T44" s="2">
        <v>1</v>
      </c>
      <c r="U44" s="2"/>
      <c r="AG44" s="17" t="s">
        <v>30</v>
      </c>
      <c r="AH44" s="15">
        <v>7895</v>
      </c>
      <c r="AI44" s="16">
        <v>9.4948316606634948E-3</v>
      </c>
    </row>
    <row r="45" spans="13:35">
      <c r="M45"/>
      <c r="T45" s="2">
        <v>1</v>
      </c>
      <c r="U45" s="2"/>
      <c r="AG45" s="17" t="s">
        <v>20</v>
      </c>
      <c r="AH45" s="15">
        <v>9676</v>
      </c>
      <c r="AI45" s="16">
        <v>1.1636730987787206E-2</v>
      </c>
    </row>
    <row r="46" spans="13:35">
      <c r="M46"/>
      <c r="T46" s="2">
        <v>1</v>
      </c>
      <c r="U46" s="2"/>
      <c r="AG46" s="17" t="s">
        <v>34</v>
      </c>
      <c r="AH46" s="15">
        <v>12621</v>
      </c>
      <c r="AI46" s="16">
        <v>1.5178501632581885E-2</v>
      </c>
    </row>
    <row r="47" spans="13:35">
      <c r="M47"/>
      <c r="T47" s="2">
        <v>1</v>
      </c>
      <c r="U47" s="2"/>
      <c r="AG47" s="17" t="s">
        <v>26</v>
      </c>
      <c r="AH47" s="15">
        <v>4065</v>
      </c>
      <c r="AI47" s="16">
        <v>4.8887258645468161E-3</v>
      </c>
    </row>
    <row r="48" spans="13:35">
      <c r="M48"/>
      <c r="T48" s="2">
        <v>1</v>
      </c>
      <c r="U48" s="2"/>
      <c r="AG48" s="17" t="s">
        <v>11</v>
      </c>
      <c r="AH48" s="15">
        <v>14898</v>
      </c>
      <c r="AI48" s="16">
        <v>1.791690969988154E-2</v>
      </c>
    </row>
    <row r="49" spans="13:35">
      <c r="M49"/>
      <c r="T49" s="2">
        <v>1</v>
      </c>
      <c r="U49" s="2"/>
      <c r="AG49" s="17" t="s">
        <v>16</v>
      </c>
      <c r="AH49" s="15">
        <v>1210</v>
      </c>
      <c r="AI49" s="16">
        <v>1.4551926927679328E-3</v>
      </c>
    </row>
    <row r="50" spans="13:35">
      <c r="M50"/>
      <c r="T50" s="2">
        <v>1</v>
      </c>
      <c r="U50" s="2"/>
      <c r="AG50" s="7" t="s">
        <v>21</v>
      </c>
      <c r="AH50" s="15"/>
      <c r="AI50" s="16"/>
    </row>
    <row r="51" spans="13:35">
      <c r="M51"/>
      <c r="T51" s="2">
        <v>1</v>
      </c>
      <c r="U51" s="2"/>
      <c r="AG51" s="17" t="s">
        <v>23</v>
      </c>
      <c r="AH51" s="15">
        <v>14153</v>
      </c>
      <c r="AI51" s="16">
        <v>1.7020943951028558E-2</v>
      </c>
    </row>
    <row r="52" spans="13:35">
      <c r="M52"/>
      <c r="T52" s="2">
        <v>1</v>
      </c>
      <c r="U52" s="2"/>
      <c r="AG52" s="17" t="s">
        <v>22</v>
      </c>
      <c r="AH52" s="15">
        <v>9445</v>
      </c>
      <c r="AI52" s="16">
        <v>1.1358921473713326E-2</v>
      </c>
    </row>
    <row r="53" spans="13:35">
      <c r="M53"/>
      <c r="T53" s="2">
        <v>1</v>
      </c>
      <c r="U53" s="2"/>
      <c r="AG53" s="17" t="s">
        <v>42</v>
      </c>
      <c r="AH53" s="15">
        <v>35197</v>
      </c>
      <c r="AI53" s="16">
        <v>4.2329270419299944E-2</v>
      </c>
    </row>
    <row r="54" spans="13:35">
      <c r="M54"/>
      <c r="T54" s="2">
        <v>1</v>
      </c>
      <c r="U54" s="2"/>
      <c r="AG54" s="17" t="s">
        <v>39</v>
      </c>
      <c r="AH54" s="15">
        <v>5362</v>
      </c>
      <c r="AI54" s="16">
        <v>6.448548114563352E-3</v>
      </c>
    </row>
    <row r="55" spans="13:35">
      <c r="M55"/>
      <c r="T55" s="2">
        <v>1</v>
      </c>
      <c r="U55" s="2"/>
      <c r="AG55" s="17" t="s">
        <v>37</v>
      </c>
      <c r="AH55" s="15">
        <v>3596</v>
      </c>
      <c r="AI55" s="16">
        <v>4.3246883662756089E-3</v>
      </c>
    </row>
    <row r="56" spans="13:35">
      <c r="M56"/>
      <c r="T56" s="2">
        <v>1</v>
      </c>
      <c r="U56" s="2"/>
      <c r="AG56" s="17" t="s">
        <v>35</v>
      </c>
      <c r="AH56" s="15">
        <v>3829</v>
      </c>
      <c r="AI56" s="16">
        <v>4.6049031575276156E-3</v>
      </c>
    </row>
    <row r="57" spans="13:35">
      <c r="M57"/>
      <c r="T57" s="2">
        <v>1</v>
      </c>
      <c r="U57" s="2"/>
      <c r="AG57" s="17" t="s">
        <v>30</v>
      </c>
      <c r="AH57" s="15">
        <v>2752</v>
      </c>
      <c r="AI57" s="16">
        <v>3.3096613971052491E-3</v>
      </c>
    </row>
    <row r="58" spans="13:35">
      <c r="M58"/>
      <c r="T58" s="2">
        <v>1</v>
      </c>
      <c r="U58" s="2"/>
      <c r="AG58" s="17" t="s">
        <v>20</v>
      </c>
      <c r="AH58" s="15">
        <v>20532</v>
      </c>
      <c r="AI58" s="16">
        <v>2.469257551067041E-2</v>
      </c>
    </row>
    <row r="59" spans="13:35">
      <c r="M59"/>
      <c r="T59" s="2">
        <v>1</v>
      </c>
      <c r="U59" s="2"/>
      <c r="AG59" s="17" t="s">
        <v>34</v>
      </c>
      <c r="AH59" s="15">
        <v>10885</v>
      </c>
      <c r="AI59" s="16">
        <v>1.3090721041966074E-2</v>
      </c>
    </row>
    <row r="60" spans="13:35">
      <c r="M60"/>
      <c r="T60" s="2">
        <v>1</v>
      </c>
      <c r="U60" s="2"/>
      <c r="AG60" s="17" t="s">
        <v>26</v>
      </c>
      <c r="AH60" s="15">
        <v>14452</v>
      </c>
      <c r="AI60" s="16">
        <v>1.7380532889158813E-2</v>
      </c>
    </row>
    <row r="61" spans="13:35">
      <c r="M61"/>
      <c r="T61" s="2">
        <v>1</v>
      </c>
      <c r="U61" s="2"/>
      <c r="AG61" s="17" t="s">
        <v>43</v>
      </c>
      <c r="AH61" s="15">
        <v>1378</v>
      </c>
      <c r="AI61" s="16">
        <v>1.6572359757307533E-3</v>
      </c>
    </row>
    <row r="62" spans="13:35">
      <c r="M62"/>
      <c r="T62" s="2">
        <v>1</v>
      </c>
      <c r="U62" s="2"/>
      <c r="AG62" s="17" t="s">
        <v>11</v>
      </c>
      <c r="AH62" s="15">
        <v>17640</v>
      </c>
      <c r="AI62" s="16">
        <v>2.1214544711096146E-2</v>
      </c>
    </row>
    <row r="63" spans="13:35">
      <c r="M63"/>
      <c r="T63" s="2">
        <v>1</v>
      </c>
      <c r="U63" s="2"/>
      <c r="AG63" s="17" t="s">
        <v>16</v>
      </c>
      <c r="AH63" s="15">
        <v>16123</v>
      </c>
      <c r="AI63" s="16">
        <v>1.939014197148544E-2</v>
      </c>
    </row>
    <row r="64" spans="13:35">
      <c r="M64"/>
      <c r="T64" s="2">
        <v>1</v>
      </c>
      <c r="U64" s="2"/>
      <c r="AG64" s="7" t="s">
        <v>29</v>
      </c>
      <c r="AH64" s="15"/>
      <c r="AI64" s="16"/>
    </row>
    <row r="65" spans="13:35">
      <c r="M65"/>
      <c r="T65" s="2">
        <v>1</v>
      </c>
      <c r="U65" s="2"/>
      <c r="AG65" s="17" t="s">
        <v>17</v>
      </c>
      <c r="AH65" s="15">
        <v>12010</v>
      </c>
      <c r="AI65" s="16">
        <v>1.4443689454663532E-2</v>
      </c>
    </row>
    <row r="66" spans="13:35">
      <c r="M66"/>
      <c r="N66"/>
      <c r="T66" s="2">
        <v>1</v>
      </c>
      <c r="U66" s="2"/>
      <c r="AG66" s="17" t="s">
        <v>22</v>
      </c>
      <c r="AH66" s="15">
        <v>6959</v>
      </c>
      <c r="AI66" s="16">
        <v>8.3691619412992104E-3</v>
      </c>
    </row>
    <row r="67" spans="13:35">
      <c r="M67"/>
      <c r="N67"/>
      <c r="T67" s="2">
        <v>1</v>
      </c>
      <c r="U67" s="2"/>
      <c r="AG67" s="17" t="s">
        <v>42</v>
      </c>
      <c r="AH67" s="15">
        <v>6148</v>
      </c>
      <c r="AI67" s="16">
        <v>7.393822045567976E-3</v>
      </c>
    </row>
    <row r="68" spans="13:35">
      <c r="M68"/>
      <c r="N68"/>
      <c r="T68" s="2">
        <v>1</v>
      </c>
      <c r="U68" s="2"/>
      <c r="AG68" s="17" t="s">
        <v>39</v>
      </c>
      <c r="AH68" s="15">
        <v>4311</v>
      </c>
      <c r="AI68" s="16">
        <v>5.1845749574566599E-3</v>
      </c>
    </row>
    <row r="69" spans="13:35">
      <c r="M69"/>
      <c r="N69"/>
      <c r="T69" s="2">
        <v>1</v>
      </c>
      <c r="U69" s="2"/>
      <c r="AG69" s="17" t="s">
        <v>37</v>
      </c>
      <c r="AH69" s="15">
        <v>8937</v>
      </c>
      <c r="AI69" s="16">
        <v>1.0747981070468609E-2</v>
      </c>
    </row>
    <row r="70" spans="13:35">
      <c r="M70"/>
      <c r="N70"/>
      <c r="T70" s="2">
        <v>1</v>
      </c>
      <c r="U70" s="2"/>
      <c r="AG70" s="17" t="s">
        <v>20</v>
      </c>
      <c r="AH70" s="15">
        <v>9736</v>
      </c>
      <c r="AI70" s="16">
        <v>1.1708889303131069E-2</v>
      </c>
    </row>
    <row r="71" spans="13:35">
      <c r="M71"/>
      <c r="N71"/>
      <c r="T71" s="2">
        <v>1</v>
      </c>
      <c r="U71" s="2"/>
      <c r="AG71" s="17" t="s">
        <v>34</v>
      </c>
      <c r="AH71" s="15">
        <v>14301</v>
      </c>
      <c r="AI71" s="16">
        <v>1.7198934462210089E-2</v>
      </c>
    </row>
    <row r="72" spans="13:35">
      <c r="M72"/>
      <c r="N72"/>
      <c r="T72" s="2">
        <v>1</v>
      </c>
      <c r="U72" s="2"/>
      <c r="AG72" s="17" t="s">
        <v>38</v>
      </c>
      <c r="AH72" s="15">
        <v>11783</v>
      </c>
      <c r="AI72" s="16">
        <v>1.4170690494945912E-2</v>
      </c>
    </row>
    <row r="73" spans="13:35">
      <c r="M73"/>
      <c r="N73"/>
      <c r="T73" s="2">
        <v>1</v>
      </c>
      <c r="U73" s="2"/>
      <c r="AG73" s="17" t="s">
        <v>26</v>
      </c>
      <c r="AH73" s="15">
        <v>26642</v>
      </c>
      <c r="AI73" s="16">
        <v>3.2040697289853939E-2</v>
      </c>
    </row>
    <row r="74" spans="13:35">
      <c r="M74"/>
      <c r="N74"/>
      <c r="T74" s="2">
        <v>1</v>
      </c>
      <c r="U74" s="2"/>
      <c r="AG74" s="17" t="s">
        <v>43</v>
      </c>
      <c r="AH74" s="15">
        <v>15654</v>
      </c>
      <c r="AI74" s="16">
        <v>1.8826104473214231E-2</v>
      </c>
    </row>
    <row r="75" spans="13:35">
      <c r="M75"/>
      <c r="T75" s="2">
        <v>1</v>
      </c>
      <c r="U75" s="2"/>
      <c r="AG75" s="17" t="s">
        <v>11</v>
      </c>
      <c r="AH75" s="15">
        <v>7371</v>
      </c>
      <c r="AI75" s="16">
        <v>8.8646490399937466E-3</v>
      </c>
    </row>
    <row r="76" spans="13:35">
      <c r="M76"/>
      <c r="T76" s="2">
        <v>1</v>
      </c>
      <c r="U76" s="2"/>
      <c r="AG76" s="17" t="s">
        <v>16</v>
      </c>
      <c r="AH76" s="15">
        <v>8676</v>
      </c>
      <c r="AI76" s="16">
        <v>1.0434092398722799E-2</v>
      </c>
    </row>
    <row r="77" spans="13:35">
      <c r="M77"/>
      <c r="T77" s="2">
        <v>1</v>
      </c>
      <c r="U77" s="2"/>
      <c r="AG77" s="7" t="s">
        <v>15</v>
      </c>
      <c r="AH77" s="15"/>
      <c r="AI77" s="16"/>
    </row>
    <row r="78" spans="13:35">
      <c r="M78"/>
      <c r="T78" s="2"/>
      <c r="AG78" s="17" t="s">
        <v>23</v>
      </c>
      <c r="AH78" s="15">
        <v>20877</v>
      </c>
      <c r="AI78" s="16">
        <v>2.5107485823897633E-2</v>
      </c>
    </row>
    <row r="79" spans="13:35">
      <c r="M79"/>
      <c r="T79" s="2"/>
      <c r="AG79" s="17" t="s">
        <v>17</v>
      </c>
      <c r="AH79" s="15">
        <v>4195</v>
      </c>
      <c r="AI79" s="16">
        <v>5.0450688811251891E-3</v>
      </c>
    </row>
    <row r="80" spans="13:35">
      <c r="M80"/>
      <c r="T80" s="2"/>
      <c r="AG80" s="17" t="s">
        <v>42</v>
      </c>
      <c r="AH80" s="15">
        <v>11720</v>
      </c>
      <c r="AI80" s="16">
        <v>1.4094924263834853E-2</v>
      </c>
    </row>
    <row r="81" spans="13:35">
      <c r="M81"/>
      <c r="T81" s="2"/>
      <c r="AG81" s="17" t="s">
        <v>39</v>
      </c>
      <c r="AH81" s="15">
        <v>12367</v>
      </c>
      <c r="AI81" s="16">
        <v>1.4873031430959525E-2</v>
      </c>
    </row>
    <row r="82" spans="13:35">
      <c r="M82"/>
      <c r="T82" s="2"/>
      <c r="AG82" s="17" t="s">
        <v>20</v>
      </c>
      <c r="AH82" s="15">
        <v>23466</v>
      </c>
      <c r="AI82" s="16">
        <v>2.8221117130985383E-2</v>
      </c>
    </row>
    <row r="83" spans="13:35">
      <c r="M83"/>
      <c r="AG83" s="17" t="s">
        <v>34</v>
      </c>
      <c r="AH83" s="15">
        <v>2777</v>
      </c>
      <c r="AI83" s="16">
        <v>3.339727361831859E-3</v>
      </c>
    </row>
    <row r="84" spans="13:35">
      <c r="M84"/>
      <c r="AG84" s="17" t="s">
        <v>38</v>
      </c>
      <c r="AH84" s="15">
        <v>10432</v>
      </c>
      <c r="AI84" s="16">
        <v>1.2545925761119897E-2</v>
      </c>
    </row>
    <row r="85" spans="13:35">
      <c r="M85"/>
      <c r="AG85" s="17" t="s">
        <v>26</v>
      </c>
      <c r="AH85" s="15">
        <v>2783</v>
      </c>
      <c r="AI85" s="16">
        <v>3.3469431933662456E-3</v>
      </c>
    </row>
    <row r="86" spans="13:35">
      <c r="M86"/>
      <c r="AG86" s="17" t="s">
        <v>43</v>
      </c>
      <c r="AH86" s="15">
        <v>10516</v>
      </c>
      <c r="AI86" s="16">
        <v>1.2646947402601307E-2</v>
      </c>
    </row>
    <row r="87" spans="13:35">
      <c r="M87"/>
      <c r="AG87" s="17" t="s">
        <v>11</v>
      </c>
      <c r="AH87" s="15">
        <v>21448</v>
      </c>
      <c r="AI87" s="16">
        <v>2.5794192458253408E-2</v>
      </c>
    </row>
    <row r="88" spans="13:35">
      <c r="M88"/>
      <c r="AG88" s="17" t="s">
        <v>16</v>
      </c>
      <c r="AH88" s="15">
        <v>3040</v>
      </c>
      <c r="AI88" s="16">
        <v>3.656021310755798E-3</v>
      </c>
    </row>
    <row r="89" spans="13:35">
      <c r="M89"/>
      <c r="AG89" s="7" t="s">
        <v>80</v>
      </c>
      <c r="AH89" s="15">
        <v>831505</v>
      </c>
      <c r="AI89" s="16">
        <v>1</v>
      </c>
    </row>
    <row r="90" spans="13:35">
      <c r="M90"/>
    </row>
    <row r="91" spans="13:35">
      <c r="M91"/>
    </row>
    <row r="92" spans="13:35">
      <c r="M92"/>
    </row>
    <row r="93" spans="13:35">
      <c r="M93"/>
    </row>
    <row r="94" spans="13:35">
      <c r="M94"/>
    </row>
    <row r="95" spans="13:35">
      <c r="M95"/>
    </row>
    <row r="96" spans="13:35">
      <c r="M96"/>
    </row>
    <row r="97" spans="13:13">
      <c r="M97"/>
    </row>
    <row r="98" spans="13:13">
      <c r="M98"/>
    </row>
    <row r="99" spans="13:13">
      <c r="M99"/>
    </row>
    <row r="100" spans="13:13">
      <c r="M100"/>
    </row>
    <row r="101" spans="13:13">
      <c r="M101"/>
    </row>
    <row r="102" spans="13:13">
      <c r="M102"/>
    </row>
    <row r="103" spans="13:13">
      <c r="M103"/>
    </row>
    <row r="104" spans="13:13">
      <c r="M104"/>
    </row>
    <row r="105" spans="13:13">
      <c r="M105"/>
    </row>
    <row r="106" spans="13:13">
      <c r="M106"/>
    </row>
    <row r="107" spans="13:13">
      <c r="M107"/>
    </row>
    <row r="108" spans="13:13">
      <c r="M108"/>
    </row>
    <row r="109" spans="13:13">
      <c r="M109"/>
    </row>
    <row r="110" spans="13:13">
      <c r="M110"/>
    </row>
    <row r="111" spans="13:13">
      <c r="M111"/>
    </row>
    <row r="112" spans="13:13">
      <c r="M112"/>
    </row>
    <row r="113" spans="13:13">
      <c r="M113"/>
    </row>
    <row r="114" spans="13:13">
      <c r="M114"/>
    </row>
    <row r="115" spans="13:13">
      <c r="M115"/>
    </row>
    <row r="116" spans="13:13">
      <c r="M116"/>
    </row>
    <row r="117" spans="13:13">
      <c r="M117"/>
    </row>
    <row r="118" spans="13:13">
      <c r="M118"/>
    </row>
    <row r="119" spans="13:13">
      <c r="M119"/>
    </row>
    <row r="120" spans="13:13">
      <c r="M120"/>
    </row>
    <row r="121" spans="13:13">
      <c r="M121"/>
    </row>
    <row r="122" spans="13:13">
      <c r="M122"/>
    </row>
    <row r="123" spans="13:13">
      <c r="M123"/>
    </row>
    <row r="124" spans="13:13">
      <c r="M124"/>
    </row>
    <row r="125" spans="13:13">
      <c r="M125"/>
    </row>
    <row r="126" spans="13:13">
      <c r="M126"/>
    </row>
    <row r="127" spans="13:13">
      <c r="M127"/>
    </row>
    <row r="128" spans="13:13">
      <c r="M128"/>
    </row>
    <row r="129" spans="1:14">
      <c r="M129"/>
    </row>
    <row r="130" spans="1:14">
      <c r="A130" s="6" t="s">
        <v>89</v>
      </c>
      <c r="B130" s="6" t="s">
        <v>86</v>
      </c>
      <c r="C130" s="2" t="s">
        <v>64</v>
      </c>
      <c r="D130" s="2" t="s">
        <v>79</v>
      </c>
      <c r="E130" s="2" t="s">
        <v>90</v>
      </c>
      <c r="F130" s="2" t="s">
        <v>74</v>
      </c>
      <c r="G130" s="2" t="s">
        <v>70</v>
      </c>
      <c r="M130"/>
      <c r="N130"/>
    </row>
    <row r="131" spans="1:14">
      <c r="A131" s="2" t="s">
        <v>88</v>
      </c>
      <c r="C131" s="23">
        <v>121298</v>
      </c>
      <c r="D131" s="23">
        <v>44081</v>
      </c>
      <c r="E131" s="24">
        <v>0.55337124493152057</v>
      </c>
      <c r="F131" s="23">
        <v>48796</v>
      </c>
      <c r="G131" s="23">
        <v>186888</v>
      </c>
      <c r="M131"/>
      <c r="N131"/>
    </row>
    <row r="132" spans="1:14">
      <c r="A132" s="2" t="s">
        <v>87</v>
      </c>
      <c r="B132" s="2" t="s">
        <v>41</v>
      </c>
      <c r="C132" s="23">
        <v>13871</v>
      </c>
      <c r="D132" s="23">
        <v>6004</v>
      </c>
      <c r="E132" s="29">
        <v>7.5371270038539273E-2</v>
      </c>
      <c r="F132" s="23">
        <v>5599</v>
      </c>
      <c r="G132" s="23">
        <v>18514</v>
      </c>
      <c r="M132"/>
      <c r="N132"/>
    </row>
    <row r="133" spans="1:14">
      <c r="A133" s="2" t="s">
        <v>87</v>
      </c>
      <c r="B133" s="2" t="s">
        <v>32</v>
      </c>
      <c r="C133" s="8">
        <v>4918</v>
      </c>
      <c r="D133" s="8">
        <v>1992</v>
      </c>
      <c r="E133" s="16">
        <v>2.5006590592400107E-2</v>
      </c>
      <c r="F133" s="8">
        <v>5330</v>
      </c>
      <c r="G133" s="8">
        <v>5033</v>
      </c>
      <c r="M133"/>
      <c r="N133"/>
    </row>
    <row r="134" spans="1:14">
      <c r="A134" s="2" t="s">
        <v>87</v>
      </c>
      <c r="B134" s="2" t="s">
        <v>24</v>
      </c>
      <c r="C134" s="8">
        <v>20518</v>
      </c>
      <c r="D134" s="8">
        <v>2800</v>
      </c>
      <c r="E134" s="16">
        <v>3.514982613389573E-2</v>
      </c>
      <c r="F134" s="8">
        <v>5984</v>
      </c>
      <c r="G134" s="8">
        <v>27329</v>
      </c>
      <c r="L134" t="s">
        <v>96</v>
      </c>
      <c r="M134" t="s">
        <v>97</v>
      </c>
      <c r="N134" t="s">
        <v>98</v>
      </c>
    </row>
    <row r="135" spans="1:14">
      <c r="A135" s="2" t="s">
        <v>87</v>
      </c>
      <c r="B135" s="2" t="s">
        <v>13</v>
      </c>
      <c r="C135" s="8">
        <v>34453</v>
      </c>
      <c r="D135" s="8">
        <v>7605</v>
      </c>
      <c r="E135" s="16">
        <v>9.5469438481527516E-2</v>
      </c>
      <c r="F135" s="8">
        <v>7633</v>
      </c>
      <c r="G135" s="8">
        <v>27409</v>
      </c>
      <c r="J135" t="s">
        <v>91</v>
      </c>
      <c r="L135">
        <f>C131</f>
        <v>121298</v>
      </c>
      <c r="M135">
        <f>C132</f>
        <v>13871</v>
      </c>
      <c r="N135" s="14">
        <f>(L135/M135-1)/100</f>
        <v>7.7447191983274447E-2</v>
      </c>
    </row>
    <row r="136" spans="1:14">
      <c r="A136" s="2" t="s">
        <v>87</v>
      </c>
      <c r="B136" s="2" t="s">
        <v>31</v>
      </c>
      <c r="C136" s="8">
        <v>7436</v>
      </c>
      <c r="D136" s="8">
        <v>2024</v>
      </c>
      <c r="E136" s="16">
        <v>2.5408302891073199E-2</v>
      </c>
      <c r="F136" s="8">
        <v>3848</v>
      </c>
      <c r="G136" s="8">
        <v>16374</v>
      </c>
      <c r="J136" t="s">
        <v>92</v>
      </c>
      <c r="L136">
        <f>D131</f>
        <v>44081</v>
      </c>
      <c r="M136">
        <f>D132</f>
        <v>6004</v>
      </c>
      <c r="N136" s="14">
        <f t="shared" ref="N136:N139" si="6">(L136/M136-1)/100</f>
        <v>6.3419387075283148E-2</v>
      </c>
    </row>
    <row r="137" spans="1:14">
      <c r="A137" s="2" t="s">
        <v>87</v>
      </c>
      <c r="B137" s="2" t="s">
        <v>27</v>
      </c>
      <c r="C137" s="8">
        <v>10000</v>
      </c>
      <c r="D137" s="8">
        <v>2243</v>
      </c>
      <c r="E137" s="16">
        <v>2.8157521435117187E-2</v>
      </c>
      <c r="F137" s="8">
        <v>719</v>
      </c>
      <c r="G137" s="8">
        <v>8149</v>
      </c>
      <c r="J137" t="s">
        <v>93</v>
      </c>
      <c r="L137" s="16">
        <f>E131</f>
        <v>0.55337124493152057</v>
      </c>
      <c r="M137" s="16">
        <f>E132</f>
        <v>7.5371270038539273E-2</v>
      </c>
      <c r="N137" s="14">
        <f t="shared" si="6"/>
        <v>6.3419387075283135E-2</v>
      </c>
    </row>
    <row r="138" spans="1:14">
      <c r="A138" s="2" t="s">
        <v>87</v>
      </c>
      <c r="B138" s="2" t="s">
        <v>36</v>
      </c>
      <c r="C138" s="8">
        <v>21308</v>
      </c>
      <c r="D138" s="8">
        <v>7443</v>
      </c>
      <c r="E138" s="16">
        <v>9.3435769969494972E-2</v>
      </c>
      <c r="F138" s="8">
        <v>7276</v>
      </c>
      <c r="G138" s="8">
        <v>26524</v>
      </c>
      <c r="J138" t="s">
        <v>94</v>
      </c>
      <c r="L138">
        <f>F131</f>
        <v>48796</v>
      </c>
      <c r="M138">
        <f>F132</f>
        <v>5599</v>
      </c>
      <c r="N138" s="14">
        <f t="shared" si="6"/>
        <v>7.7151277013752448E-2</v>
      </c>
    </row>
    <row r="139" spans="1:14">
      <c r="A139" s="2" t="s">
        <v>87</v>
      </c>
      <c r="B139" s="2" t="s">
        <v>19</v>
      </c>
      <c r="C139" s="8">
        <v>25266</v>
      </c>
      <c r="D139" s="8">
        <v>4597</v>
      </c>
      <c r="E139" s="16">
        <v>5.7708482406256666E-2</v>
      </c>
      <c r="F139" s="8">
        <v>4146</v>
      </c>
      <c r="G139" s="8">
        <v>20102</v>
      </c>
      <c r="J139" t="s">
        <v>95</v>
      </c>
      <c r="L139">
        <f>G131</f>
        <v>186888</v>
      </c>
      <c r="M139">
        <f>G132</f>
        <v>18514</v>
      </c>
      <c r="N139" s="14">
        <f t="shared" si="6"/>
        <v>9.0944150372690935E-2</v>
      </c>
    </row>
    <row r="140" spans="1:14">
      <c r="A140" s="2" t="s">
        <v>87</v>
      </c>
      <c r="B140" s="2" t="s">
        <v>9</v>
      </c>
      <c r="C140" s="8">
        <v>17574</v>
      </c>
      <c r="D140" s="8">
        <v>870</v>
      </c>
      <c r="E140" s="16">
        <v>1.0921553120174746E-2</v>
      </c>
      <c r="F140" s="8">
        <v>2858</v>
      </c>
      <c r="G140" s="8">
        <v>20722</v>
      </c>
      <c r="M140"/>
      <c r="N140"/>
    </row>
    <row r="141" spans="1:14">
      <c r="M141"/>
      <c r="N141"/>
    </row>
    <row r="142" spans="1:14">
      <c r="M142"/>
      <c r="N142"/>
    </row>
    <row r="143" spans="1:14">
      <c r="M143"/>
      <c r="N143"/>
    </row>
    <row r="144" spans="1:14">
      <c r="M144"/>
      <c r="N144"/>
    </row>
    <row r="145" spans="13:14">
      <c r="M145"/>
      <c r="N145"/>
    </row>
    <row r="146" spans="13:14">
      <c r="M146"/>
      <c r="N146"/>
    </row>
    <row r="147" spans="13:14">
      <c r="M147"/>
      <c r="N147"/>
    </row>
    <row r="148" spans="13:14">
      <c r="M148"/>
      <c r="N148"/>
    </row>
    <row r="149" spans="13:14">
      <c r="M149"/>
      <c r="N149"/>
    </row>
    <row r="150" spans="13:14">
      <c r="M150"/>
      <c r="N150"/>
    </row>
    <row r="151" spans="13:14">
      <c r="M151"/>
      <c r="N151"/>
    </row>
    <row r="152" spans="13:14">
      <c r="M152"/>
      <c r="N152"/>
    </row>
    <row r="153" spans="13:14">
      <c r="M153"/>
      <c r="N153"/>
    </row>
    <row r="154" spans="13:14">
      <c r="M154"/>
      <c r="N154"/>
    </row>
    <row r="155" spans="13:14">
      <c r="M155"/>
      <c r="N155"/>
    </row>
    <row r="156" spans="13:14">
      <c r="M156"/>
      <c r="N156"/>
    </row>
    <row r="157" spans="13:14">
      <c r="M157"/>
      <c r="N157"/>
    </row>
    <row r="158" spans="13:14">
      <c r="M158"/>
      <c r="N158"/>
    </row>
    <row r="159" spans="13:14">
      <c r="M159"/>
      <c r="N159"/>
    </row>
    <row r="160" spans="13:14">
      <c r="M160"/>
      <c r="N160"/>
    </row>
    <row r="161" spans="13:14">
      <c r="M161"/>
      <c r="N161"/>
    </row>
    <row r="162" spans="13:14">
      <c r="M162"/>
      <c r="N162"/>
    </row>
    <row r="163" spans="13:14">
      <c r="M163"/>
      <c r="N163"/>
    </row>
    <row r="164" spans="13:14">
      <c r="M164"/>
      <c r="N164"/>
    </row>
    <row r="165" spans="13:14">
      <c r="M165"/>
      <c r="N165"/>
    </row>
    <row r="166" spans="13:14">
      <c r="M166"/>
      <c r="N166"/>
    </row>
    <row r="167" spans="13:14">
      <c r="M167"/>
      <c r="N167"/>
    </row>
    <row r="168" spans="13:14">
      <c r="M168"/>
      <c r="N168"/>
    </row>
    <row r="169" spans="13:14">
      <c r="M169"/>
      <c r="N169"/>
    </row>
    <row r="170" spans="13:14">
      <c r="M170"/>
      <c r="N170"/>
    </row>
    <row r="171" spans="13:14">
      <c r="M171"/>
      <c r="N171"/>
    </row>
    <row r="172" spans="13:14">
      <c r="M172"/>
      <c r="N172"/>
    </row>
    <row r="173" spans="13:14">
      <c r="M173"/>
      <c r="N173"/>
    </row>
    <row r="174" spans="13:14">
      <c r="M174"/>
      <c r="N174"/>
    </row>
    <row r="175" spans="13:14">
      <c r="M175"/>
      <c r="N175"/>
    </row>
    <row r="176" spans="13:14">
      <c r="M176"/>
      <c r="N176"/>
    </row>
    <row r="177" spans="13:14">
      <c r="M177"/>
      <c r="N177"/>
    </row>
    <row r="178" spans="13:14">
      <c r="M178"/>
      <c r="N178"/>
    </row>
    <row r="179" spans="13:14">
      <c r="M179"/>
      <c r="N179"/>
    </row>
    <row r="180" spans="13:14">
      <c r="M180"/>
      <c r="N180"/>
    </row>
    <row r="181" spans="13:14">
      <c r="M181"/>
      <c r="N181"/>
    </row>
    <row r="182" spans="13:14">
      <c r="M182"/>
      <c r="N182"/>
    </row>
    <row r="183" spans="13:14">
      <c r="M183"/>
      <c r="N183"/>
    </row>
    <row r="184" spans="13:14">
      <c r="M184"/>
      <c r="N184"/>
    </row>
    <row r="185" spans="13:14">
      <c r="M185"/>
      <c r="N185"/>
    </row>
    <row r="186" spans="13:14">
      <c r="M186"/>
      <c r="N186"/>
    </row>
    <row r="187" spans="13:14">
      <c r="M187"/>
      <c r="N187"/>
    </row>
    <row r="188" spans="13:14">
      <c r="M188"/>
      <c r="N188"/>
    </row>
    <row r="189" spans="13:14">
      <c r="M189"/>
      <c r="N189"/>
    </row>
    <row r="190" spans="13:14">
      <c r="M190"/>
      <c r="N190"/>
    </row>
    <row r="191" spans="13:14">
      <c r="M191"/>
      <c r="N191"/>
    </row>
    <row r="192" spans="13:14">
      <c r="M192"/>
      <c r="N192"/>
    </row>
    <row r="193" spans="13:14">
      <c r="M193"/>
      <c r="N193"/>
    </row>
    <row r="194" spans="13:14">
      <c r="M194"/>
      <c r="N194"/>
    </row>
    <row r="195" spans="13:14">
      <c r="M195"/>
      <c r="N195"/>
    </row>
    <row r="196" spans="13:14">
      <c r="M196"/>
      <c r="N196"/>
    </row>
    <row r="197" spans="13:14">
      <c r="M197"/>
      <c r="N197"/>
    </row>
    <row r="198" spans="13:14">
      <c r="M198"/>
      <c r="N198"/>
    </row>
    <row r="199" spans="13:14">
      <c r="M199"/>
      <c r="N199"/>
    </row>
    <row r="200" spans="13:14">
      <c r="M200"/>
      <c r="N200"/>
    </row>
    <row r="201" spans="13:14">
      <c r="M201"/>
      <c r="N201"/>
    </row>
    <row r="202" spans="13:14">
      <c r="M202"/>
      <c r="N202"/>
    </row>
    <row r="203" spans="13:14">
      <c r="M203"/>
      <c r="N203"/>
    </row>
    <row r="204" spans="13:14">
      <c r="M204"/>
      <c r="N204"/>
    </row>
    <row r="205" spans="13:14">
      <c r="M205"/>
      <c r="N205"/>
    </row>
    <row r="206" spans="13:14">
      <c r="M206"/>
      <c r="N206"/>
    </row>
    <row r="207" spans="13:14">
      <c r="M207"/>
      <c r="N207"/>
    </row>
    <row r="208" spans="13:14">
      <c r="M208"/>
      <c r="N208"/>
    </row>
    <row r="209" spans="13:14">
      <c r="M209"/>
      <c r="N209"/>
    </row>
    <row r="210" spans="13:14">
      <c r="M210"/>
      <c r="N210"/>
    </row>
    <row r="211" spans="13:14">
      <c r="M211"/>
      <c r="N211"/>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94AFE"/>
  </sheetPr>
  <dimension ref="A1:U98"/>
  <sheetViews>
    <sheetView showGridLines="0" showRowColHeaders="0" tabSelected="1" zoomScale="90" zoomScaleNormal="90" workbookViewId="0">
      <selection activeCell="P35" sqref="P35"/>
    </sheetView>
  </sheetViews>
  <sheetFormatPr defaultRowHeight="14.25"/>
  <sheetData>
    <row r="1" spans="1:21">
      <c r="A1" s="5"/>
      <c r="B1" s="5"/>
      <c r="C1" s="5"/>
      <c r="D1" s="5"/>
      <c r="E1" s="5"/>
      <c r="F1" s="5"/>
      <c r="G1" s="5"/>
      <c r="H1" s="5"/>
      <c r="I1" s="5"/>
      <c r="J1" s="5"/>
      <c r="K1" s="5"/>
      <c r="L1" s="5"/>
      <c r="M1" s="5"/>
      <c r="N1" s="5"/>
      <c r="O1" s="5"/>
      <c r="P1" s="5"/>
      <c r="Q1" s="5"/>
      <c r="R1" s="5"/>
      <c r="S1" s="5"/>
      <c r="T1" s="5"/>
      <c r="U1" s="5"/>
    </row>
    <row r="2" spans="1:21">
      <c r="A2" s="5"/>
      <c r="B2" s="5"/>
      <c r="C2" s="5"/>
      <c r="D2" s="5"/>
      <c r="E2" s="5"/>
      <c r="F2" s="5"/>
      <c r="G2" s="5"/>
      <c r="H2" s="5"/>
      <c r="I2" s="5"/>
      <c r="J2" s="5"/>
      <c r="K2" s="5"/>
      <c r="L2" s="5"/>
      <c r="M2" s="5"/>
      <c r="N2" s="5"/>
      <c r="O2" s="5"/>
      <c r="P2" s="5"/>
      <c r="Q2" s="5"/>
      <c r="R2" s="5"/>
      <c r="S2" s="5"/>
      <c r="T2" s="5"/>
      <c r="U2" s="5"/>
    </row>
    <row r="3" spans="1:21">
      <c r="A3" s="5"/>
      <c r="B3" s="5"/>
      <c r="C3" s="5"/>
      <c r="D3" s="5"/>
      <c r="E3" s="5"/>
      <c r="F3" s="5"/>
      <c r="G3" s="5"/>
      <c r="H3" s="5"/>
      <c r="I3" s="5"/>
      <c r="J3" s="5"/>
      <c r="K3" s="5"/>
      <c r="L3" s="5"/>
      <c r="M3" s="5"/>
      <c r="N3" s="5"/>
      <c r="O3" s="5"/>
      <c r="P3" s="5"/>
      <c r="Q3" s="5"/>
      <c r="R3" s="5"/>
      <c r="S3" s="5"/>
      <c r="T3" s="5"/>
      <c r="U3" s="5"/>
    </row>
    <row r="4" spans="1:21" ht="18.75">
      <c r="A4" s="5"/>
      <c r="B4" s="5"/>
      <c r="C4" s="5"/>
      <c r="D4" s="5"/>
      <c r="E4" s="5"/>
      <c r="F4" s="5"/>
      <c r="G4" s="5"/>
      <c r="H4" s="5"/>
      <c r="I4" s="5"/>
      <c r="J4" s="5"/>
      <c r="K4" s="5"/>
      <c r="L4" s="5"/>
      <c r="M4" s="5"/>
      <c r="N4" s="5"/>
      <c r="O4" s="5"/>
      <c r="P4" s="5"/>
      <c r="Q4" s="5"/>
      <c r="R4" s="5"/>
      <c r="S4" s="5"/>
      <c r="T4" s="25" t="s">
        <v>99</v>
      </c>
      <c r="U4" s="5"/>
    </row>
    <row r="5" spans="1:21">
      <c r="A5" s="5"/>
      <c r="B5" s="5"/>
      <c r="C5" s="5"/>
      <c r="D5" s="5"/>
      <c r="E5" s="5"/>
      <c r="F5" s="5"/>
      <c r="G5" s="5"/>
      <c r="H5" s="5"/>
      <c r="I5" s="5"/>
      <c r="J5" s="5"/>
      <c r="K5" s="5"/>
      <c r="L5" s="5"/>
      <c r="M5" s="5"/>
      <c r="N5" s="5"/>
      <c r="O5" s="5"/>
      <c r="P5" s="5"/>
      <c r="Q5" s="5"/>
      <c r="R5" s="5"/>
      <c r="S5" s="5"/>
      <c r="T5" s="5"/>
      <c r="U5" s="5"/>
    </row>
    <row r="6" spans="1:21">
      <c r="A6" s="5"/>
      <c r="B6" s="5"/>
      <c r="C6" s="5"/>
      <c r="D6" s="5"/>
      <c r="E6" s="5"/>
      <c r="F6" s="5"/>
      <c r="G6" s="5"/>
      <c r="H6" s="5"/>
      <c r="I6" s="5"/>
      <c r="J6" s="5"/>
      <c r="K6" s="5"/>
      <c r="L6" s="5"/>
      <c r="M6" s="5"/>
      <c r="N6" s="5"/>
      <c r="O6" s="5"/>
      <c r="P6" s="5"/>
      <c r="Q6" s="5"/>
      <c r="R6" s="5"/>
      <c r="S6" s="5"/>
      <c r="T6" s="28">
        <f>pivots!N135</f>
        <v>7.7447191983274447E-2</v>
      </c>
      <c r="U6" s="5"/>
    </row>
    <row r="7" spans="1:21">
      <c r="A7" s="5"/>
      <c r="B7" s="5"/>
      <c r="C7" s="5"/>
      <c r="D7" s="5"/>
      <c r="E7" s="5"/>
      <c r="F7" s="5"/>
      <c r="G7" s="5"/>
      <c r="H7" s="5"/>
      <c r="I7" s="5"/>
      <c r="J7" s="5"/>
      <c r="K7" s="5"/>
      <c r="L7" s="5"/>
      <c r="M7" s="5"/>
      <c r="N7" s="5"/>
      <c r="O7" s="5"/>
      <c r="P7" s="5"/>
      <c r="Q7" s="5"/>
      <c r="R7" s="5"/>
      <c r="S7" s="5"/>
      <c r="T7" s="26">
        <f>T6</f>
        <v>7.7447191983274447E-2</v>
      </c>
      <c r="U7" s="5"/>
    </row>
    <row r="8" spans="1:21">
      <c r="A8" s="5"/>
      <c r="B8" s="5"/>
      <c r="C8" s="5"/>
      <c r="D8" s="5"/>
      <c r="E8" s="5"/>
      <c r="F8" s="5"/>
      <c r="G8" s="5"/>
      <c r="H8" s="5"/>
      <c r="I8" s="5"/>
      <c r="J8" s="5"/>
      <c r="K8" s="5"/>
      <c r="L8" s="5"/>
      <c r="M8" s="5"/>
      <c r="N8" s="5"/>
      <c r="O8" s="5"/>
      <c r="P8" s="5"/>
      <c r="Q8" s="5"/>
      <c r="R8" s="5"/>
      <c r="S8" s="5"/>
      <c r="T8" s="5"/>
      <c r="U8" s="5"/>
    </row>
    <row r="9" spans="1:21">
      <c r="A9" s="5" t="s">
        <v>62</v>
      </c>
      <c r="B9" s="5"/>
      <c r="C9" s="5"/>
      <c r="D9" s="5"/>
      <c r="E9" s="5"/>
      <c r="F9" s="5"/>
      <c r="G9" s="5"/>
      <c r="H9" s="5"/>
      <c r="I9" s="5"/>
      <c r="J9" s="5"/>
      <c r="K9" s="5"/>
      <c r="L9" s="5"/>
      <c r="M9" s="5"/>
      <c r="N9" s="5"/>
      <c r="O9" s="5"/>
      <c r="P9" s="5"/>
      <c r="Q9" s="5"/>
      <c r="R9" s="5"/>
      <c r="S9" s="5"/>
      <c r="T9" s="5"/>
      <c r="U9" s="5"/>
    </row>
    <row r="10" spans="1:21">
      <c r="A10" s="5"/>
      <c r="B10" s="5"/>
      <c r="C10" s="5"/>
      <c r="D10" s="5"/>
      <c r="E10" s="5"/>
      <c r="F10" s="5"/>
      <c r="G10" s="5"/>
      <c r="H10" s="5"/>
      <c r="I10" s="5"/>
      <c r="J10" s="5"/>
      <c r="K10" s="5"/>
      <c r="L10" s="5"/>
      <c r="M10" s="5"/>
      <c r="N10" s="5"/>
      <c r="O10" s="5"/>
      <c r="P10" s="5"/>
      <c r="Q10" s="5"/>
      <c r="R10" s="5"/>
      <c r="S10" s="5"/>
      <c r="T10" s="5"/>
      <c r="U10" s="5"/>
    </row>
    <row r="11" spans="1:21">
      <c r="A11" s="5"/>
      <c r="B11" s="5"/>
      <c r="C11" s="5"/>
      <c r="D11" s="5"/>
      <c r="E11" s="5"/>
      <c r="F11" s="5"/>
      <c r="G11" s="5"/>
      <c r="H11" s="5"/>
      <c r="I11" s="5"/>
      <c r="J11" s="5"/>
      <c r="K11" s="5"/>
      <c r="L11" s="5"/>
      <c r="M11" s="5"/>
      <c r="N11" s="5"/>
      <c r="O11" s="5"/>
      <c r="P11" s="5"/>
      <c r="Q11" s="5"/>
      <c r="R11" s="5"/>
      <c r="S11" s="5"/>
      <c r="T11" s="5"/>
      <c r="U11" s="5"/>
    </row>
    <row r="12" spans="1:21">
      <c r="A12" s="5"/>
      <c r="B12" s="5"/>
      <c r="C12" s="5"/>
      <c r="D12" s="5"/>
      <c r="E12" s="5"/>
      <c r="F12" s="5"/>
      <c r="G12" s="5"/>
      <c r="H12" s="5"/>
      <c r="I12" s="5"/>
      <c r="J12" s="5"/>
      <c r="K12" s="5"/>
      <c r="L12" s="5"/>
      <c r="M12" s="5"/>
      <c r="N12" s="5"/>
      <c r="O12" s="5"/>
      <c r="P12" s="5"/>
      <c r="Q12" s="5"/>
      <c r="R12" s="5"/>
      <c r="S12" s="5"/>
      <c r="T12" s="28">
        <f>pivots!N136</f>
        <v>6.3419387075283148E-2</v>
      </c>
      <c r="U12" s="5"/>
    </row>
    <row r="13" spans="1:21">
      <c r="A13" s="5"/>
      <c r="B13" s="5"/>
      <c r="C13" s="5"/>
      <c r="D13" s="5"/>
      <c r="E13" s="5"/>
      <c r="F13" s="5"/>
      <c r="G13" s="5"/>
      <c r="H13" s="5"/>
      <c r="I13" s="5"/>
      <c r="J13" s="5"/>
      <c r="K13" s="5"/>
      <c r="L13" s="5"/>
      <c r="M13" s="5"/>
      <c r="N13" s="5"/>
      <c r="O13" s="5"/>
      <c r="P13" s="5"/>
      <c r="Q13" s="5"/>
      <c r="R13" s="5"/>
      <c r="S13" s="5"/>
      <c r="T13" s="26">
        <f>T12</f>
        <v>6.3419387075283148E-2</v>
      </c>
      <c r="U13" s="5"/>
    </row>
    <row r="14" spans="1:21">
      <c r="A14" s="5"/>
      <c r="B14" s="5"/>
      <c r="C14" s="5"/>
      <c r="D14" s="5"/>
      <c r="E14" s="5"/>
      <c r="F14" s="5"/>
      <c r="G14" s="5"/>
      <c r="H14" s="5"/>
      <c r="I14" s="5"/>
      <c r="J14" s="5"/>
      <c r="K14" s="5"/>
      <c r="L14" s="5"/>
      <c r="M14" s="5"/>
      <c r="N14" s="5"/>
      <c r="O14" s="5"/>
      <c r="P14" s="5"/>
      <c r="Q14" s="5"/>
      <c r="R14" s="5"/>
      <c r="S14" s="5"/>
      <c r="T14" s="5"/>
      <c r="U14" s="5"/>
    </row>
    <row r="15" spans="1:21">
      <c r="A15" s="5"/>
      <c r="B15" s="5"/>
      <c r="C15" s="5"/>
      <c r="D15" s="5"/>
      <c r="E15" s="5"/>
      <c r="F15" s="5"/>
      <c r="G15" s="5"/>
      <c r="H15" s="5"/>
      <c r="I15" s="5"/>
      <c r="J15" s="5"/>
      <c r="K15" s="5"/>
      <c r="L15" s="5"/>
      <c r="M15" s="5"/>
      <c r="N15" s="5"/>
      <c r="O15" s="5"/>
      <c r="P15" s="5"/>
      <c r="Q15" s="5"/>
      <c r="R15" s="5"/>
      <c r="S15" s="5"/>
      <c r="T15" s="5"/>
      <c r="U15" s="5"/>
    </row>
    <row r="16" spans="1:21">
      <c r="A16" s="5"/>
      <c r="B16" s="5"/>
      <c r="C16" s="5"/>
      <c r="D16" s="5"/>
      <c r="E16" s="5"/>
      <c r="F16" s="5"/>
      <c r="G16" s="5"/>
      <c r="H16" s="5"/>
      <c r="I16" s="5"/>
      <c r="J16" s="5"/>
      <c r="K16" s="5"/>
      <c r="L16" s="5"/>
      <c r="M16" s="5"/>
      <c r="N16" s="5"/>
      <c r="O16" s="5"/>
      <c r="P16" s="5"/>
      <c r="Q16" s="5"/>
      <c r="R16" s="5"/>
      <c r="S16" s="5"/>
      <c r="T16" s="5"/>
      <c r="U16" s="5"/>
    </row>
    <row r="17" spans="1:21">
      <c r="A17" s="5"/>
      <c r="B17" s="5"/>
      <c r="C17" s="5"/>
      <c r="D17" s="5"/>
      <c r="E17" s="5"/>
      <c r="F17" s="5"/>
      <c r="G17" s="5"/>
      <c r="H17" s="5"/>
      <c r="I17" s="5"/>
      <c r="J17" s="5"/>
      <c r="K17" s="5"/>
      <c r="L17" s="5"/>
      <c r="M17" s="5"/>
      <c r="N17" s="5"/>
      <c r="O17" s="5"/>
      <c r="P17" s="5"/>
      <c r="Q17" s="5"/>
      <c r="R17" s="5"/>
      <c r="S17" s="5"/>
      <c r="T17" s="5"/>
      <c r="U17" s="5"/>
    </row>
    <row r="18" spans="1:21">
      <c r="A18" s="5"/>
      <c r="B18" s="5"/>
      <c r="C18" s="5"/>
      <c r="D18" s="5"/>
      <c r="E18" s="5"/>
      <c r="F18" s="5"/>
      <c r="G18" s="5"/>
      <c r="H18" s="5"/>
      <c r="I18" s="5"/>
      <c r="J18" s="5"/>
      <c r="K18" s="5"/>
      <c r="L18" s="5"/>
      <c r="M18" s="5"/>
      <c r="N18" s="5"/>
      <c r="O18" s="5"/>
      <c r="P18" s="5"/>
      <c r="Q18" s="5"/>
      <c r="R18" s="5"/>
      <c r="S18" s="5"/>
      <c r="T18" s="28">
        <f>pivots!N137</f>
        <v>6.3419387075283135E-2</v>
      </c>
      <c r="U18" s="5"/>
    </row>
    <row r="19" spans="1:21">
      <c r="A19" s="5"/>
      <c r="B19" s="5"/>
      <c r="C19" s="5"/>
      <c r="D19" s="5"/>
      <c r="E19" s="5"/>
      <c r="F19" s="5"/>
      <c r="G19" s="5"/>
      <c r="H19" s="5"/>
      <c r="I19" s="5"/>
      <c r="J19" s="5"/>
      <c r="K19" s="5"/>
      <c r="L19" s="5"/>
      <c r="M19" s="5"/>
      <c r="N19" s="5"/>
      <c r="O19" s="5"/>
      <c r="P19" s="5"/>
      <c r="Q19" s="5"/>
      <c r="R19" s="5"/>
      <c r="S19" s="5"/>
      <c r="T19" s="26">
        <f>T18</f>
        <v>6.3419387075283135E-2</v>
      </c>
      <c r="U19" s="5"/>
    </row>
    <row r="20" spans="1:21">
      <c r="A20" s="5"/>
      <c r="B20" s="5"/>
      <c r="C20" s="5"/>
      <c r="D20" s="5"/>
      <c r="E20" s="5"/>
      <c r="F20" s="5"/>
      <c r="G20" s="5"/>
      <c r="H20" s="5"/>
      <c r="I20" s="5"/>
      <c r="J20" s="5"/>
      <c r="K20" s="5"/>
      <c r="L20" s="5"/>
      <c r="M20" s="5"/>
      <c r="N20" s="5"/>
      <c r="O20" s="5"/>
      <c r="P20" s="5"/>
      <c r="Q20" s="5"/>
      <c r="R20" s="5"/>
      <c r="S20" s="5"/>
      <c r="T20" s="5"/>
      <c r="U20" s="5"/>
    </row>
    <row r="21" spans="1:21">
      <c r="A21" s="5"/>
      <c r="B21" s="5"/>
      <c r="C21" s="5"/>
      <c r="D21" s="5"/>
      <c r="E21" s="5"/>
      <c r="F21" s="5"/>
      <c r="G21" s="5"/>
      <c r="H21" s="5"/>
      <c r="I21" s="5"/>
      <c r="J21" s="5"/>
      <c r="K21" s="5"/>
      <c r="L21" s="5"/>
      <c r="M21" s="5"/>
      <c r="N21" s="5"/>
      <c r="O21" s="5"/>
      <c r="P21" s="5"/>
      <c r="Q21" s="5"/>
      <c r="R21" s="5"/>
      <c r="S21" s="5"/>
      <c r="T21" s="5"/>
      <c r="U21" s="5"/>
    </row>
    <row r="22" spans="1:21">
      <c r="A22" s="5"/>
      <c r="B22" s="5"/>
      <c r="C22" s="5"/>
      <c r="D22" s="5"/>
      <c r="E22" s="5"/>
      <c r="F22" s="5"/>
      <c r="G22" s="5"/>
      <c r="H22" s="5"/>
      <c r="I22" s="5"/>
      <c r="J22" s="5"/>
      <c r="K22" s="5"/>
      <c r="L22" s="5"/>
      <c r="M22" s="5"/>
      <c r="N22" s="5"/>
      <c r="O22" s="5"/>
      <c r="P22" s="5"/>
      <c r="Q22" s="5"/>
      <c r="R22" s="5"/>
      <c r="S22" s="5"/>
      <c r="T22" s="5"/>
      <c r="U22" s="5"/>
    </row>
    <row r="23" spans="1:21">
      <c r="A23" s="5"/>
      <c r="B23" s="5"/>
      <c r="C23" s="5"/>
      <c r="D23" s="5"/>
      <c r="E23" s="5"/>
      <c r="F23" s="5"/>
      <c r="G23" s="5"/>
      <c r="H23" s="5"/>
      <c r="I23" s="5"/>
      <c r="J23" s="5"/>
      <c r="K23" s="5"/>
      <c r="L23" s="5"/>
      <c r="M23" s="5"/>
      <c r="N23" s="5"/>
      <c r="O23" s="5"/>
      <c r="P23" s="5"/>
      <c r="Q23" s="5"/>
      <c r="R23" s="5"/>
      <c r="S23" s="5"/>
      <c r="T23" s="5"/>
      <c r="U23" s="5"/>
    </row>
    <row r="24" spans="1:21">
      <c r="A24" s="4" t="s">
        <v>72</v>
      </c>
      <c r="B24" s="4"/>
      <c r="C24" s="4"/>
      <c r="D24" s="4"/>
      <c r="E24" s="4"/>
      <c r="F24" s="4"/>
      <c r="G24" s="4"/>
      <c r="H24" s="4"/>
      <c r="I24" s="4"/>
      <c r="J24" s="4"/>
      <c r="K24" s="4"/>
      <c r="L24" s="4"/>
      <c r="M24" s="4"/>
      <c r="N24" s="4"/>
      <c r="O24" s="4"/>
      <c r="P24" s="4"/>
      <c r="Q24" s="4"/>
      <c r="R24" s="4"/>
      <c r="S24" s="4"/>
      <c r="T24" s="4"/>
      <c r="U24" s="4"/>
    </row>
    <row r="25" spans="1:21">
      <c r="A25" s="4"/>
      <c r="B25" s="4"/>
      <c r="C25" s="4"/>
      <c r="D25" s="4"/>
      <c r="E25" s="4"/>
      <c r="F25" s="4"/>
      <c r="G25" s="4"/>
      <c r="H25" s="4"/>
      <c r="I25" s="4"/>
      <c r="J25" s="4"/>
      <c r="K25" s="4"/>
      <c r="L25" s="4"/>
      <c r="M25" s="4"/>
      <c r="N25" s="4"/>
      <c r="O25" s="4"/>
      <c r="P25" s="4"/>
      <c r="Q25" s="4"/>
      <c r="R25" s="4"/>
      <c r="S25" s="4"/>
      <c r="T25" s="28">
        <f>pivots!N138</f>
        <v>7.7151277013752448E-2</v>
      </c>
      <c r="U25" s="4"/>
    </row>
    <row r="26" spans="1:21">
      <c r="A26" s="4"/>
      <c r="B26" s="4"/>
      <c r="C26" s="4"/>
      <c r="D26" s="4"/>
      <c r="E26" s="4"/>
      <c r="F26" s="4"/>
      <c r="G26" s="4"/>
      <c r="H26" s="4"/>
      <c r="I26" s="4"/>
      <c r="J26" s="4"/>
      <c r="K26" s="4"/>
      <c r="L26" s="4"/>
      <c r="M26" s="4"/>
      <c r="N26" s="4"/>
      <c r="O26" s="4"/>
      <c r="P26" s="4"/>
      <c r="Q26" s="4"/>
      <c r="R26" s="4"/>
      <c r="S26" s="4"/>
      <c r="T26" s="27">
        <f>T25</f>
        <v>7.7151277013752448E-2</v>
      </c>
      <c r="U26" s="4"/>
    </row>
    <row r="27" spans="1:21">
      <c r="A27" s="4"/>
      <c r="B27" s="4"/>
      <c r="C27" s="4"/>
      <c r="D27" s="4"/>
      <c r="E27" s="4"/>
      <c r="F27" s="4"/>
      <c r="G27" s="4"/>
      <c r="H27" s="4"/>
      <c r="I27" s="4"/>
      <c r="J27" s="4"/>
      <c r="K27" s="4"/>
      <c r="L27" s="4"/>
      <c r="M27" s="4"/>
      <c r="N27" s="4"/>
      <c r="O27" s="4"/>
      <c r="P27" s="4"/>
      <c r="Q27" s="4"/>
      <c r="R27" s="4"/>
      <c r="S27" s="4"/>
      <c r="T27" s="4"/>
      <c r="U27" s="4"/>
    </row>
    <row r="28" spans="1:21">
      <c r="A28" s="4"/>
      <c r="B28" s="4"/>
      <c r="C28" s="4"/>
      <c r="D28" s="4"/>
      <c r="E28" s="4"/>
      <c r="F28" s="4"/>
      <c r="G28" s="4"/>
      <c r="H28" s="4"/>
      <c r="I28" s="4"/>
      <c r="J28" s="4"/>
      <c r="K28" s="4"/>
      <c r="L28" s="4"/>
      <c r="M28" s="4"/>
      <c r="N28" s="4"/>
      <c r="O28" s="4"/>
      <c r="P28" s="4"/>
      <c r="Q28" s="4"/>
      <c r="R28" s="4"/>
      <c r="S28" s="4"/>
      <c r="T28" s="4"/>
      <c r="U28" s="4"/>
    </row>
    <row r="29" spans="1:21">
      <c r="A29" s="4"/>
      <c r="B29" s="4"/>
      <c r="C29" s="4"/>
      <c r="D29" s="4"/>
      <c r="E29" s="4"/>
      <c r="F29" s="4"/>
      <c r="G29" s="4"/>
      <c r="H29" s="4"/>
      <c r="I29" s="4"/>
      <c r="J29" s="4"/>
      <c r="K29" s="4"/>
      <c r="L29" s="4"/>
      <c r="M29" s="4"/>
      <c r="N29" s="4"/>
      <c r="O29" s="4"/>
      <c r="P29" s="4"/>
      <c r="Q29" s="4"/>
      <c r="R29" s="4"/>
      <c r="S29" s="4"/>
      <c r="T29" s="4"/>
      <c r="U29" s="4"/>
    </row>
    <row r="30" spans="1:21">
      <c r="A30" s="4"/>
      <c r="B30" s="4"/>
      <c r="C30" s="4"/>
      <c r="D30" s="4"/>
      <c r="E30" s="4"/>
      <c r="F30" s="4"/>
      <c r="G30" s="4"/>
      <c r="H30" s="4"/>
      <c r="I30" s="4"/>
      <c r="J30" s="4"/>
      <c r="K30" s="4"/>
      <c r="L30" s="4"/>
      <c r="M30" s="4"/>
      <c r="N30" s="4"/>
      <c r="O30" s="4"/>
      <c r="P30" s="4"/>
      <c r="Q30" s="4"/>
      <c r="R30" s="4"/>
      <c r="S30" s="4"/>
      <c r="T30" s="4"/>
      <c r="U30" s="4"/>
    </row>
    <row r="31" spans="1:21">
      <c r="A31" s="4"/>
      <c r="B31" s="4"/>
      <c r="C31" s="4"/>
      <c r="D31" s="4"/>
      <c r="E31" s="4"/>
      <c r="F31" s="4"/>
      <c r="G31" s="4"/>
      <c r="H31" s="4"/>
      <c r="I31" s="4"/>
      <c r="J31" s="4"/>
      <c r="K31" s="4"/>
      <c r="L31" s="4"/>
      <c r="M31" s="4"/>
      <c r="N31" s="4"/>
      <c r="O31" s="4"/>
      <c r="P31" s="4"/>
      <c r="Q31" s="4"/>
      <c r="R31" s="4"/>
      <c r="S31" s="4"/>
      <c r="T31" s="28">
        <f>pivots!N139</f>
        <v>9.0944150372690935E-2</v>
      </c>
      <c r="U31" s="4"/>
    </row>
    <row r="32" spans="1:21">
      <c r="A32" s="4"/>
      <c r="B32" s="4"/>
      <c r="C32" s="4"/>
      <c r="D32" s="4"/>
      <c r="E32" s="4"/>
      <c r="F32" s="4"/>
      <c r="G32" s="4"/>
      <c r="H32" s="4"/>
      <c r="I32" s="4"/>
      <c r="J32" s="4"/>
      <c r="K32" s="4"/>
      <c r="L32" s="4"/>
      <c r="M32" s="4"/>
      <c r="N32" s="4"/>
      <c r="O32" s="4"/>
      <c r="P32" s="4"/>
      <c r="Q32" s="4"/>
      <c r="R32" s="4"/>
      <c r="S32" s="4"/>
      <c r="T32" s="27">
        <f>T31</f>
        <v>9.0944150372690935E-2</v>
      </c>
      <c r="U32" s="4"/>
    </row>
    <row r="33" spans="1:21">
      <c r="A33" s="4"/>
      <c r="B33" s="4"/>
      <c r="C33" s="4"/>
      <c r="D33" s="4"/>
      <c r="E33" s="4"/>
      <c r="F33" s="4"/>
      <c r="G33" s="4"/>
      <c r="H33" s="4"/>
      <c r="I33" s="4"/>
      <c r="J33" s="4"/>
      <c r="K33" s="4"/>
      <c r="L33" s="4"/>
      <c r="M33" s="4"/>
      <c r="N33" s="4"/>
      <c r="O33" s="4"/>
      <c r="P33" s="4"/>
      <c r="Q33" s="4"/>
      <c r="R33" s="4"/>
      <c r="S33" s="4"/>
      <c r="T33" s="4"/>
      <c r="U33" s="4"/>
    </row>
    <row r="34" spans="1:21">
      <c r="A34" s="4"/>
      <c r="B34" s="4"/>
      <c r="C34" s="4"/>
      <c r="D34" s="4"/>
      <c r="E34" s="4"/>
      <c r="F34" s="4"/>
      <c r="G34" s="4"/>
      <c r="H34" s="4"/>
      <c r="I34" s="4"/>
      <c r="J34" s="4"/>
      <c r="K34" s="4"/>
      <c r="L34" s="4"/>
      <c r="M34" s="4"/>
      <c r="N34" s="4"/>
      <c r="O34" s="4"/>
      <c r="P34" s="4"/>
      <c r="Q34" s="4"/>
      <c r="R34" s="4"/>
      <c r="S34" s="4"/>
      <c r="T34" s="4"/>
      <c r="U34" s="4"/>
    </row>
    <row r="35" spans="1:21">
      <c r="A35" s="4"/>
      <c r="B35" s="4"/>
      <c r="C35" s="4"/>
      <c r="D35" s="4"/>
      <c r="E35" s="4"/>
      <c r="F35" s="4"/>
      <c r="G35" s="4"/>
      <c r="H35" s="4"/>
      <c r="I35" s="4"/>
      <c r="J35" s="4"/>
      <c r="K35" s="4"/>
      <c r="L35" s="4"/>
      <c r="M35" s="4"/>
      <c r="N35" s="4"/>
      <c r="O35" s="4"/>
      <c r="P35" s="4"/>
      <c r="Q35" s="4"/>
      <c r="R35" s="4"/>
      <c r="S35" s="4"/>
      <c r="T35" s="4"/>
      <c r="U35" s="4"/>
    </row>
    <row r="36" spans="1:21">
      <c r="A36" s="4"/>
      <c r="B36" s="4"/>
      <c r="C36" s="4"/>
      <c r="D36" s="4"/>
      <c r="E36" s="4"/>
      <c r="F36" s="4"/>
      <c r="G36" s="4"/>
      <c r="H36" s="4"/>
      <c r="I36" s="4"/>
      <c r="J36" s="4"/>
      <c r="K36" s="4"/>
      <c r="L36" s="4"/>
      <c r="M36" s="4"/>
      <c r="N36" s="4"/>
      <c r="O36" s="4"/>
      <c r="P36" s="4"/>
      <c r="Q36" s="4"/>
      <c r="R36" s="4"/>
      <c r="S36" s="4"/>
      <c r="T36" s="4"/>
      <c r="U36" s="4"/>
    </row>
    <row r="37" spans="1:21">
      <c r="A37" s="4"/>
      <c r="B37" s="4"/>
      <c r="C37" s="4"/>
      <c r="D37" s="4"/>
      <c r="E37" s="4"/>
      <c r="F37" s="4"/>
      <c r="G37" s="4"/>
      <c r="H37" s="4"/>
      <c r="I37" s="4"/>
      <c r="J37" s="4"/>
      <c r="K37" s="4"/>
      <c r="L37" s="4"/>
      <c r="M37" s="4"/>
      <c r="N37" s="4"/>
      <c r="O37" s="4"/>
      <c r="P37" s="4"/>
      <c r="Q37" s="4"/>
      <c r="R37" s="4"/>
      <c r="S37" s="4"/>
      <c r="T37" s="4"/>
      <c r="U37" s="4"/>
    </row>
    <row r="38" spans="1:21">
      <c r="A38" s="4"/>
      <c r="B38" s="4"/>
      <c r="C38" s="4"/>
      <c r="D38" s="4"/>
      <c r="E38" s="4"/>
      <c r="F38" s="4"/>
      <c r="G38" s="4"/>
      <c r="H38" s="4"/>
      <c r="I38" s="4"/>
      <c r="J38" s="4"/>
      <c r="K38" s="4"/>
      <c r="L38" s="4"/>
      <c r="M38" s="4"/>
      <c r="N38" s="4"/>
      <c r="O38" s="4"/>
      <c r="P38" s="4"/>
      <c r="Q38" s="4"/>
      <c r="R38" s="4"/>
      <c r="S38" s="4"/>
      <c r="T38" s="4"/>
      <c r="U38" s="4"/>
    </row>
    <row r="39" spans="1:21">
      <c r="A39" s="4"/>
      <c r="B39" s="4"/>
      <c r="C39" s="4"/>
      <c r="D39" s="4"/>
      <c r="E39" s="4"/>
      <c r="F39" s="4"/>
      <c r="G39" s="4"/>
      <c r="H39" s="4"/>
      <c r="I39" s="4"/>
      <c r="J39" s="4"/>
      <c r="K39" s="4"/>
      <c r="L39" s="4"/>
      <c r="M39" s="4"/>
      <c r="N39" s="4"/>
      <c r="O39" s="4"/>
      <c r="P39" s="4"/>
      <c r="Q39" s="4"/>
      <c r="R39" s="4"/>
      <c r="S39" s="4"/>
      <c r="T39" s="4"/>
      <c r="U39" s="4"/>
    </row>
    <row r="40" spans="1:21">
      <c r="A40" s="4"/>
      <c r="B40" s="4"/>
      <c r="C40" s="4"/>
      <c r="D40" s="4"/>
      <c r="E40" s="4"/>
      <c r="F40" s="4"/>
      <c r="G40" s="4"/>
      <c r="H40" s="4"/>
      <c r="I40" s="4"/>
      <c r="J40" s="4"/>
      <c r="K40" s="4"/>
      <c r="L40" s="4"/>
      <c r="M40" s="4"/>
      <c r="N40" s="4"/>
      <c r="O40" s="4"/>
      <c r="P40" s="4"/>
      <c r="Q40" s="4"/>
      <c r="R40" s="4"/>
      <c r="S40" s="4"/>
      <c r="T40" s="4"/>
      <c r="U40" s="4"/>
    </row>
    <row r="41" spans="1:21">
      <c r="A41" s="4"/>
      <c r="B41" s="4"/>
      <c r="C41" s="4"/>
      <c r="D41" s="4"/>
      <c r="E41" s="4"/>
      <c r="F41" s="4"/>
      <c r="G41" s="4"/>
      <c r="H41" s="4"/>
      <c r="I41" s="4"/>
      <c r="J41" s="4"/>
      <c r="K41" s="4"/>
      <c r="L41" s="4"/>
      <c r="M41" s="4"/>
      <c r="N41" s="4"/>
      <c r="O41" s="4"/>
      <c r="P41" s="4"/>
      <c r="Q41" s="4"/>
      <c r="R41" s="4"/>
      <c r="S41" s="4"/>
      <c r="T41" s="4"/>
      <c r="U41" s="4"/>
    </row>
    <row r="42" spans="1:21">
      <c r="A42" s="4"/>
      <c r="B42" s="4"/>
      <c r="C42" s="4"/>
      <c r="D42" s="4"/>
      <c r="E42" s="4"/>
      <c r="F42" s="4"/>
      <c r="G42" s="4"/>
      <c r="H42" s="4"/>
      <c r="I42" s="4"/>
      <c r="J42" s="4"/>
      <c r="K42" s="4"/>
      <c r="L42" s="4"/>
      <c r="M42" s="4"/>
      <c r="N42" s="4"/>
      <c r="O42" s="4"/>
      <c r="P42" s="4"/>
      <c r="Q42" s="4"/>
      <c r="R42" s="4"/>
      <c r="S42" s="4"/>
      <c r="T42" s="4"/>
      <c r="U42" s="4"/>
    </row>
    <row r="43" spans="1:21">
      <c r="A43" s="4"/>
      <c r="B43" s="4"/>
      <c r="C43" s="4"/>
      <c r="D43" s="4"/>
      <c r="E43" s="4"/>
      <c r="F43" s="4"/>
      <c r="G43" s="4"/>
      <c r="H43" s="4"/>
      <c r="I43" s="4"/>
      <c r="J43" s="4"/>
      <c r="K43" s="4"/>
      <c r="L43" s="4"/>
      <c r="M43" s="4"/>
      <c r="N43" s="4"/>
      <c r="O43" s="4"/>
      <c r="P43" s="4"/>
      <c r="Q43" s="4"/>
      <c r="R43" s="4"/>
      <c r="S43" s="4"/>
      <c r="T43" s="4"/>
      <c r="U43" s="4"/>
    </row>
    <row r="44" spans="1:21">
      <c r="A44" s="4"/>
      <c r="B44" s="4"/>
      <c r="C44" s="4"/>
      <c r="D44" s="4"/>
      <c r="E44" s="4"/>
      <c r="F44" s="4"/>
      <c r="G44" s="4"/>
      <c r="H44" s="4"/>
      <c r="I44" s="4"/>
      <c r="J44" s="4"/>
      <c r="K44" s="4"/>
      <c r="L44" s="4"/>
      <c r="M44" s="4"/>
      <c r="N44" s="4"/>
      <c r="O44" s="4"/>
      <c r="P44" s="4"/>
      <c r="Q44" s="4"/>
      <c r="R44" s="4"/>
      <c r="S44" s="4"/>
      <c r="T44" s="4"/>
      <c r="U44" s="4"/>
    </row>
    <row r="45" spans="1:21">
      <c r="A45" s="4"/>
      <c r="B45" s="4"/>
      <c r="C45" s="4"/>
      <c r="D45" s="4"/>
      <c r="E45" s="4"/>
      <c r="F45" s="4"/>
      <c r="G45" s="4"/>
      <c r="H45" s="4"/>
      <c r="I45" s="4"/>
      <c r="J45" s="4"/>
      <c r="K45" s="4"/>
      <c r="L45" s="4"/>
      <c r="M45" s="4"/>
      <c r="N45" s="4"/>
      <c r="O45" s="4"/>
      <c r="P45" s="4"/>
      <c r="Q45" s="4"/>
      <c r="R45" s="4"/>
      <c r="S45" s="4"/>
      <c r="T45" s="4"/>
      <c r="U45" s="4"/>
    </row>
    <row r="46" spans="1:21">
      <c r="A46" s="4"/>
      <c r="B46" s="4"/>
      <c r="C46" s="4"/>
      <c r="D46" s="4"/>
      <c r="E46" s="4"/>
      <c r="F46" s="4"/>
      <c r="G46" s="4"/>
      <c r="H46" s="4"/>
      <c r="I46" s="4"/>
      <c r="J46" s="4"/>
      <c r="K46" s="4"/>
      <c r="L46" s="4"/>
      <c r="M46" s="4"/>
      <c r="N46" s="4"/>
      <c r="O46" s="4"/>
      <c r="P46" s="4"/>
      <c r="Q46" s="4"/>
      <c r="R46" s="4"/>
      <c r="S46" s="4"/>
      <c r="T46" s="4"/>
      <c r="U46" s="4"/>
    </row>
    <row r="47" spans="1:21">
      <c r="A47" s="4"/>
      <c r="B47" s="4"/>
      <c r="C47" s="4"/>
      <c r="D47" s="4"/>
      <c r="E47" s="4"/>
      <c r="F47" s="4"/>
      <c r="G47" s="4"/>
      <c r="H47" s="4"/>
      <c r="I47" s="4"/>
      <c r="J47" s="4"/>
      <c r="K47" s="4"/>
      <c r="L47" s="4"/>
      <c r="M47" s="4"/>
      <c r="N47" s="4"/>
      <c r="O47" s="4"/>
      <c r="P47" s="4"/>
      <c r="Q47" s="4"/>
      <c r="R47" s="4"/>
      <c r="S47" s="4"/>
      <c r="T47" s="4"/>
      <c r="U47" s="4"/>
    </row>
    <row r="48" spans="1:21">
      <c r="A48" s="4"/>
      <c r="B48" s="4"/>
      <c r="C48" s="4"/>
      <c r="D48" s="4"/>
      <c r="E48" s="4"/>
      <c r="F48" s="4"/>
      <c r="G48" s="4"/>
      <c r="H48" s="4"/>
      <c r="I48" s="4"/>
      <c r="J48" s="4"/>
      <c r="K48" s="4"/>
      <c r="L48" s="4"/>
      <c r="M48" s="4"/>
      <c r="N48" s="4"/>
      <c r="O48" s="4"/>
      <c r="P48" s="4"/>
      <c r="Q48" s="4"/>
      <c r="R48" s="4"/>
      <c r="S48" s="4"/>
      <c r="T48" s="4"/>
      <c r="U48" s="4"/>
    </row>
    <row r="49" spans="1:21">
      <c r="A49" s="4"/>
      <c r="B49" s="4"/>
      <c r="C49" s="4"/>
      <c r="D49" s="4"/>
      <c r="E49" s="4"/>
      <c r="F49" s="4"/>
      <c r="G49" s="4"/>
      <c r="H49" s="4"/>
      <c r="I49" s="4"/>
      <c r="J49" s="4"/>
      <c r="K49" s="4"/>
      <c r="L49" s="4"/>
      <c r="M49" s="4"/>
      <c r="N49" s="4"/>
      <c r="O49" s="4"/>
      <c r="P49" s="4"/>
      <c r="Q49" s="4"/>
      <c r="R49" s="4"/>
      <c r="S49" s="4"/>
      <c r="T49" s="4"/>
      <c r="U49" s="4"/>
    </row>
    <row r="50" spans="1:21">
      <c r="A50" s="4"/>
      <c r="B50" s="4"/>
      <c r="C50" s="4"/>
      <c r="D50" s="4"/>
      <c r="E50" s="4"/>
      <c r="F50" s="4"/>
      <c r="G50" s="4"/>
      <c r="H50" s="4"/>
      <c r="I50" s="4"/>
      <c r="J50" s="4"/>
      <c r="K50" s="4"/>
      <c r="L50" s="4"/>
      <c r="M50" s="4"/>
      <c r="N50" s="4"/>
      <c r="O50" s="4"/>
      <c r="P50" s="4"/>
      <c r="Q50" s="4"/>
      <c r="R50" s="4"/>
      <c r="S50" s="4"/>
      <c r="T50" s="4"/>
      <c r="U50" s="4"/>
    </row>
    <row r="51" spans="1:21">
      <c r="A51" s="4"/>
      <c r="B51" s="4"/>
      <c r="C51" s="4"/>
      <c r="D51" s="4"/>
      <c r="E51" s="4"/>
      <c r="F51" s="4"/>
      <c r="G51" s="4"/>
      <c r="H51" s="4"/>
      <c r="I51" s="4"/>
      <c r="J51" s="4"/>
      <c r="K51" s="4"/>
      <c r="L51" s="4"/>
      <c r="M51" s="4"/>
      <c r="N51" s="4"/>
      <c r="O51" s="4"/>
      <c r="P51" s="4"/>
      <c r="Q51" s="4"/>
      <c r="R51" s="4"/>
      <c r="S51" s="4"/>
      <c r="T51" s="4"/>
      <c r="U51" s="4"/>
    </row>
    <row r="52" spans="1:21">
      <c r="A52" s="4"/>
      <c r="B52" s="4"/>
      <c r="C52" s="4"/>
      <c r="D52" s="4"/>
      <c r="E52" s="4"/>
      <c r="F52" s="4"/>
      <c r="G52" s="4"/>
      <c r="H52" s="4"/>
      <c r="I52" s="4"/>
      <c r="J52" s="4"/>
      <c r="K52" s="4"/>
      <c r="L52" s="4"/>
      <c r="M52" s="4"/>
      <c r="N52" s="4"/>
      <c r="O52" s="4"/>
      <c r="P52" s="4"/>
      <c r="Q52" s="4"/>
      <c r="R52" s="4"/>
      <c r="S52" s="4"/>
      <c r="T52" s="4"/>
      <c r="U52" s="4"/>
    </row>
    <row r="53" spans="1:21">
      <c r="A53" s="4"/>
      <c r="B53" s="4"/>
      <c r="C53" s="4"/>
      <c r="D53" s="4"/>
      <c r="E53" s="4"/>
      <c r="F53" s="4"/>
      <c r="G53" s="4"/>
      <c r="H53" s="4"/>
      <c r="I53" s="4"/>
      <c r="J53" s="4"/>
      <c r="K53" s="4"/>
      <c r="L53" s="4"/>
      <c r="M53" s="4"/>
      <c r="N53" s="4"/>
      <c r="O53" s="4"/>
      <c r="P53" s="4"/>
      <c r="Q53" s="4"/>
      <c r="R53" s="4"/>
      <c r="S53" s="4"/>
      <c r="T53" s="4"/>
      <c r="U53" s="4"/>
    </row>
    <row r="54" spans="1:21">
      <c r="A54" s="4"/>
      <c r="B54" s="4"/>
      <c r="C54" s="4"/>
      <c r="D54" s="4"/>
      <c r="E54" s="4"/>
      <c r="F54" s="4"/>
      <c r="G54" s="4"/>
      <c r="H54" s="4"/>
      <c r="I54" s="4"/>
      <c r="J54" s="4"/>
      <c r="K54" s="4"/>
      <c r="L54" s="4"/>
      <c r="M54" s="4"/>
      <c r="N54" s="4"/>
      <c r="O54" s="4"/>
      <c r="P54" s="4"/>
      <c r="Q54" s="4"/>
      <c r="R54" s="4"/>
      <c r="S54" s="4"/>
      <c r="T54" s="4"/>
      <c r="U54" s="4"/>
    </row>
    <row r="55" spans="1:21">
      <c r="A55" s="4"/>
      <c r="B55" s="4"/>
      <c r="C55" s="4"/>
      <c r="D55" s="4"/>
      <c r="E55" s="4"/>
      <c r="F55" s="4"/>
      <c r="G55" s="4"/>
      <c r="H55" s="4"/>
      <c r="I55" s="4"/>
      <c r="J55" s="4"/>
      <c r="K55" s="4"/>
      <c r="L55" s="4"/>
      <c r="M55" s="4"/>
      <c r="N55" s="4"/>
      <c r="O55" s="4"/>
      <c r="P55" s="4"/>
      <c r="Q55" s="4"/>
      <c r="R55" s="4"/>
      <c r="S55" s="4"/>
      <c r="T55" s="4"/>
      <c r="U55" s="4"/>
    </row>
    <row r="56" spans="1:21">
      <c r="A56" s="4"/>
      <c r="B56" s="4"/>
      <c r="C56" s="4"/>
      <c r="D56" s="4"/>
      <c r="E56" s="4"/>
      <c r="F56" s="4"/>
      <c r="G56" s="4"/>
      <c r="H56" s="4"/>
      <c r="I56" s="4"/>
      <c r="J56" s="4"/>
      <c r="K56" s="4"/>
      <c r="L56" s="4"/>
      <c r="M56" s="4"/>
      <c r="N56" s="4"/>
      <c r="O56" s="4"/>
      <c r="P56" s="4"/>
      <c r="Q56" s="4"/>
      <c r="R56" s="4"/>
      <c r="S56" s="4"/>
      <c r="T56" s="4"/>
      <c r="U56" s="4"/>
    </row>
    <row r="57" spans="1:21">
      <c r="A57" s="4"/>
      <c r="B57" s="4"/>
      <c r="C57" s="4"/>
      <c r="D57" s="4"/>
      <c r="E57" s="4"/>
      <c r="F57" s="4"/>
      <c r="G57" s="4"/>
      <c r="H57" s="4"/>
      <c r="I57" s="4"/>
      <c r="J57" s="4"/>
      <c r="K57" s="4"/>
      <c r="L57" s="4"/>
      <c r="M57" s="4"/>
      <c r="N57" s="4"/>
      <c r="O57" s="4"/>
      <c r="P57" s="4"/>
      <c r="Q57" s="4"/>
      <c r="R57" s="4"/>
      <c r="S57" s="4"/>
      <c r="T57" s="4"/>
      <c r="U57" s="4"/>
    </row>
    <row r="58" spans="1:21">
      <c r="A58" s="4"/>
      <c r="B58" s="4"/>
      <c r="C58" s="4"/>
      <c r="D58" s="4"/>
      <c r="E58" s="4"/>
      <c r="F58" s="4"/>
      <c r="G58" s="4"/>
      <c r="H58" s="4"/>
      <c r="I58" s="4"/>
      <c r="J58" s="4"/>
      <c r="K58" s="4"/>
      <c r="L58" s="4"/>
      <c r="M58" s="4"/>
      <c r="N58" s="4"/>
      <c r="O58" s="4"/>
      <c r="P58" s="4"/>
      <c r="Q58" s="4"/>
      <c r="R58" s="4"/>
      <c r="S58" s="4"/>
      <c r="T58" s="4"/>
      <c r="U58" s="4"/>
    </row>
    <row r="59" spans="1:21">
      <c r="A59" s="4"/>
      <c r="B59" s="4"/>
      <c r="C59" s="4"/>
      <c r="D59" s="4"/>
      <c r="E59" s="4"/>
      <c r="F59" s="4"/>
      <c r="G59" s="4"/>
      <c r="H59" s="4"/>
      <c r="I59" s="4"/>
      <c r="J59" s="4"/>
      <c r="K59" s="4"/>
      <c r="L59" s="4"/>
      <c r="M59" s="4"/>
      <c r="N59" s="4"/>
      <c r="O59" s="4"/>
      <c r="P59" s="4"/>
      <c r="Q59" s="4"/>
      <c r="R59" s="4"/>
      <c r="S59" s="4"/>
      <c r="T59" s="4"/>
      <c r="U59" s="4"/>
    </row>
    <row r="60" spans="1:21">
      <c r="A60" s="4"/>
      <c r="B60" s="4"/>
      <c r="C60" s="4"/>
      <c r="D60" s="4"/>
      <c r="E60" s="4"/>
      <c r="F60" s="4"/>
      <c r="G60" s="4"/>
      <c r="H60" s="4"/>
      <c r="I60" s="4"/>
      <c r="J60" s="4"/>
      <c r="K60" s="4"/>
      <c r="L60" s="4"/>
      <c r="M60" s="4"/>
      <c r="N60" s="4"/>
      <c r="O60" s="4"/>
      <c r="P60" s="4"/>
      <c r="Q60" s="4"/>
      <c r="R60" s="4"/>
      <c r="S60" s="4"/>
      <c r="T60" s="4"/>
      <c r="U60" s="4"/>
    </row>
    <row r="61" spans="1:21">
      <c r="A61" s="4"/>
      <c r="B61" s="4"/>
      <c r="C61" s="4"/>
      <c r="D61" s="4"/>
      <c r="E61" s="4"/>
      <c r="F61" s="4"/>
      <c r="G61" s="4"/>
      <c r="H61" s="4"/>
      <c r="I61" s="4"/>
      <c r="J61" s="4"/>
      <c r="K61" s="4"/>
      <c r="L61" s="4"/>
      <c r="M61" s="4"/>
      <c r="N61" s="4"/>
      <c r="O61" s="4"/>
      <c r="P61" s="4"/>
      <c r="Q61" s="4"/>
      <c r="R61" s="4"/>
      <c r="S61" s="4"/>
      <c r="T61" s="4"/>
      <c r="U61" s="4"/>
    </row>
    <row r="62" spans="1:21">
      <c r="A62" s="4"/>
      <c r="B62" s="4"/>
      <c r="C62" s="4"/>
      <c r="D62" s="4"/>
      <c r="E62" s="4"/>
      <c r="F62" s="4"/>
      <c r="G62" s="4"/>
      <c r="H62" s="4"/>
      <c r="I62" s="4"/>
      <c r="J62" s="4"/>
      <c r="K62" s="4"/>
      <c r="L62" s="4"/>
      <c r="M62" s="4"/>
      <c r="N62" s="4"/>
      <c r="O62" s="4"/>
      <c r="P62" s="4"/>
      <c r="Q62" s="4"/>
      <c r="R62" s="4"/>
      <c r="S62" s="4"/>
      <c r="T62" s="4"/>
      <c r="U62" s="4"/>
    </row>
    <row r="63" spans="1:21">
      <c r="A63" s="4"/>
      <c r="B63" s="4"/>
      <c r="C63" s="4"/>
      <c r="D63" s="4"/>
      <c r="E63" s="4"/>
      <c r="F63" s="4"/>
      <c r="G63" s="4"/>
      <c r="H63" s="4"/>
      <c r="I63" s="4"/>
      <c r="J63" s="4"/>
      <c r="K63" s="4"/>
      <c r="L63" s="4"/>
      <c r="M63" s="4"/>
      <c r="N63" s="4"/>
      <c r="O63" s="4"/>
      <c r="P63" s="4"/>
      <c r="Q63" s="4"/>
      <c r="R63" s="4"/>
      <c r="S63" s="4"/>
      <c r="T63" s="4"/>
      <c r="U63" s="4"/>
    </row>
    <row r="64" spans="1:21">
      <c r="A64" s="4"/>
      <c r="B64" s="4"/>
      <c r="C64" s="4"/>
      <c r="D64" s="4"/>
      <c r="E64" s="4"/>
      <c r="F64" s="4"/>
      <c r="G64" s="4"/>
      <c r="H64" s="4"/>
      <c r="I64" s="4"/>
      <c r="J64" s="4"/>
      <c r="K64" s="4"/>
      <c r="L64" s="4"/>
      <c r="M64" s="4"/>
      <c r="N64" s="4"/>
      <c r="O64" s="4"/>
      <c r="P64" s="4"/>
      <c r="Q64" s="4"/>
      <c r="R64" s="4"/>
      <c r="S64" s="4"/>
      <c r="T64" s="4"/>
      <c r="U64" s="4"/>
    </row>
    <row r="65" spans="1:21">
      <c r="A65" s="4"/>
      <c r="B65" s="4"/>
      <c r="C65" s="4"/>
      <c r="D65" s="4"/>
      <c r="E65" s="4"/>
      <c r="F65" s="4"/>
      <c r="G65" s="4"/>
      <c r="H65" s="4"/>
      <c r="I65" s="4"/>
      <c r="J65" s="4"/>
      <c r="K65" s="4"/>
      <c r="L65" s="4"/>
      <c r="M65" s="4"/>
      <c r="N65" s="4"/>
      <c r="O65" s="4"/>
      <c r="P65" s="4"/>
      <c r="Q65" s="4"/>
      <c r="R65" s="4"/>
      <c r="S65" s="4"/>
      <c r="T65" s="4"/>
      <c r="U65" s="4"/>
    </row>
    <row r="66" spans="1:21">
      <c r="A66" s="4"/>
      <c r="B66" s="4"/>
      <c r="C66" s="4"/>
      <c r="D66" s="4"/>
      <c r="E66" s="4"/>
      <c r="F66" s="4"/>
      <c r="G66" s="4"/>
      <c r="H66" s="4"/>
      <c r="I66" s="4"/>
      <c r="J66" s="4"/>
      <c r="K66" s="4"/>
      <c r="L66" s="4"/>
      <c r="M66" s="4"/>
      <c r="N66" s="4"/>
      <c r="O66" s="4"/>
      <c r="P66" s="4"/>
      <c r="Q66" s="4"/>
      <c r="R66" s="4"/>
      <c r="S66" s="4"/>
      <c r="T66" s="4"/>
      <c r="U66" s="4"/>
    </row>
    <row r="67" spans="1:21">
      <c r="A67" s="4"/>
      <c r="B67" s="4"/>
      <c r="C67" s="4"/>
      <c r="D67" s="4"/>
      <c r="E67" s="4"/>
      <c r="F67" s="4"/>
      <c r="G67" s="4"/>
      <c r="H67" s="4"/>
      <c r="I67" s="4"/>
      <c r="J67" s="4"/>
      <c r="K67" s="4"/>
      <c r="L67" s="4"/>
      <c r="M67" s="4"/>
      <c r="N67" s="4"/>
      <c r="O67" s="4"/>
      <c r="P67" s="4"/>
      <c r="Q67" s="4"/>
      <c r="R67" s="4"/>
      <c r="S67" s="4"/>
      <c r="T67" s="4"/>
      <c r="U67" s="4"/>
    </row>
    <row r="68" spans="1:21">
      <c r="A68" s="4"/>
      <c r="B68" s="4"/>
      <c r="C68" s="4"/>
      <c r="D68" s="4"/>
      <c r="E68" s="4"/>
      <c r="F68" s="4"/>
      <c r="G68" s="4"/>
      <c r="H68" s="4"/>
      <c r="I68" s="4"/>
      <c r="J68" s="4"/>
      <c r="K68" s="4"/>
      <c r="L68" s="4"/>
      <c r="M68" s="4"/>
      <c r="N68" s="4"/>
      <c r="O68" s="4"/>
      <c r="P68" s="4"/>
      <c r="Q68" s="4"/>
      <c r="R68" s="4"/>
      <c r="S68" s="4"/>
      <c r="T68" s="4"/>
      <c r="U68" s="4"/>
    </row>
    <row r="69" spans="1:21">
      <c r="A69" s="4"/>
      <c r="B69" s="4"/>
      <c r="C69" s="4"/>
      <c r="D69" s="4"/>
      <c r="E69" s="4"/>
      <c r="F69" s="4"/>
      <c r="G69" s="4"/>
      <c r="H69" s="4"/>
      <c r="I69" s="4"/>
      <c r="J69" s="4"/>
      <c r="K69" s="4"/>
      <c r="L69" s="4"/>
      <c r="M69" s="4"/>
      <c r="N69" s="4"/>
      <c r="O69" s="4"/>
      <c r="P69" s="4"/>
      <c r="Q69" s="4"/>
      <c r="R69" s="4"/>
      <c r="S69" s="4"/>
      <c r="T69" s="4"/>
      <c r="U69" s="4"/>
    </row>
    <row r="70" spans="1:21">
      <c r="A70" s="4"/>
      <c r="B70" s="4"/>
      <c r="C70" s="4"/>
      <c r="D70" s="4"/>
      <c r="E70" s="4"/>
      <c r="F70" s="4"/>
      <c r="G70" s="4"/>
      <c r="H70" s="4"/>
      <c r="I70" s="4"/>
      <c r="J70" s="4"/>
      <c r="K70" s="4"/>
      <c r="L70" s="4"/>
      <c r="M70" s="4"/>
      <c r="N70" s="4"/>
      <c r="O70" s="4"/>
      <c r="P70" s="4"/>
      <c r="Q70" s="4"/>
      <c r="R70" s="4"/>
      <c r="S70" s="4"/>
      <c r="T70" s="4"/>
      <c r="U70" s="4"/>
    </row>
    <row r="71" spans="1:21">
      <c r="A71" s="4"/>
      <c r="B71" s="4"/>
      <c r="C71" s="4"/>
      <c r="D71" s="4"/>
      <c r="E71" s="4"/>
      <c r="F71" s="4"/>
      <c r="G71" s="4"/>
      <c r="H71" s="4"/>
      <c r="I71" s="4"/>
      <c r="J71" s="4"/>
      <c r="K71" s="4"/>
      <c r="L71" s="4"/>
      <c r="M71" s="4"/>
      <c r="N71" s="4"/>
      <c r="O71" s="4"/>
      <c r="P71" s="4"/>
      <c r="Q71" s="4"/>
      <c r="R71" s="4"/>
      <c r="S71" s="4"/>
      <c r="T71" s="4"/>
      <c r="U71" s="4"/>
    </row>
    <row r="72" spans="1:21">
      <c r="A72" s="4"/>
      <c r="B72" s="4"/>
      <c r="C72" s="4"/>
      <c r="D72" s="4"/>
      <c r="E72" s="4"/>
      <c r="F72" s="4"/>
      <c r="G72" s="4"/>
      <c r="H72" s="4"/>
      <c r="I72" s="4"/>
      <c r="J72" s="4"/>
      <c r="K72" s="4"/>
      <c r="L72" s="4"/>
      <c r="M72" s="4"/>
      <c r="N72" s="4"/>
      <c r="O72" s="4"/>
      <c r="P72" s="4"/>
      <c r="Q72" s="4"/>
      <c r="R72" s="4"/>
      <c r="S72" s="4"/>
      <c r="T72" s="4"/>
      <c r="U72" s="4"/>
    </row>
    <row r="73" spans="1:21">
      <c r="A73" s="4"/>
      <c r="B73" s="4"/>
      <c r="C73" s="4"/>
      <c r="D73" s="4"/>
      <c r="E73" s="4"/>
      <c r="F73" s="4"/>
      <c r="G73" s="4"/>
      <c r="H73" s="4"/>
      <c r="I73" s="4"/>
      <c r="J73" s="4"/>
      <c r="K73" s="4"/>
      <c r="L73" s="4"/>
      <c r="M73" s="4"/>
      <c r="N73" s="4"/>
      <c r="O73" s="4"/>
      <c r="P73" s="4"/>
      <c r="Q73" s="4"/>
      <c r="R73" s="4"/>
      <c r="S73" s="4"/>
      <c r="T73" s="4"/>
      <c r="U73" s="4"/>
    </row>
    <row r="74" spans="1:21">
      <c r="A74" s="4"/>
      <c r="B74" s="4"/>
      <c r="C74" s="4"/>
      <c r="D74" s="4"/>
      <c r="E74" s="4"/>
      <c r="F74" s="4"/>
      <c r="G74" s="4"/>
      <c r="H74" s="4"/>
      <c r="I74" s="4"/>
      <c r="J74" s="4"/>
      <c r="K74" s="4"/>
      <c r="L74" s="4"/>
      <c r="M74" s="4"/>
      <c r="N74" s="4"/>
      <c r="O74" s="4"/>
      <c r="P74" s="4"/>
      <c r="Q74" s="4"/>
      <c r="R74" s="4"/>
      <c r="S74" s="4"/>
      <c r="T74" s="4"/>
      <c r="U74" s="4"/>
    </row>
    <row r="75" spans="1:21">
      <c r="A75" s="4"/>
      <c r="B75" s="4"/>
      <c r="C75" s="4"/>
      <c r="D75" s="4"/>
      <c r="E75" s="4"/>
      <c r="F75" s="4"/>
      <c r="G75" s="4"/>
      <c r="H75" s="4"/>
      <c r="I75" s="4"/>
      <c r="J75" s="4"/>
      <c r="K75" s="4"/>
      <c r="L75" s="4"/>
      <c r="M75" s="4"/>
      <c r="N75" s="4"/>
      <c r="O75" s="4"/>
      <c r="P75" s="4"/>
      <c r="Q75" s="4"/>
      <c r="R75" s="4"/>
      <c r="S75" s="4"/>
      <c r="T75" s="4"/>
      <c r="U75" s="4"/>
    </row>
    <row r="76" spans="1:21">
      <c r="A76" s="4"/>
      <c r="B76" s="4"/>
      <c r="C76" s="4"/>
      <c r="D76" s="4"/>
      <c r="E76" s="4"/>
      <c r="F76" s="4"/>
      <c r="G76" s="4"/>
      <c r="H76" s="4"/>
      <c r="I76" s="4"/>
      <c r="J76" s="4"/>
      <c r="K76" s="4"/>
      <c r="L76" s="4"/>
      <c r="M76" s="4"/>
      <c r="N76" s="4"/>
      <c r="O76" s="4"/>
      <c r="P76" s="4"/>
      <c r="Q76" s="4"/>
      <c r="R76" s="4"/>
      <c r="S76" s="4"/>
      <c r="T76" s="4"/>
      <c r="U76" s="4"/>
    </row>
    <row r="77" spans="1:21">
      <c r="A77" s="4"/>
      <c r="B77" s="4"/>
      <c r="C77" s="4"/>
      <c r="D77" s="4"/>
      <c r="E77" s="4"/>
      <c r="F77" s="4"/>
      <c r="G77" s="4"/>
      <c r="H77" s="4"/>
      <c r="I77" s="4"/>
      <c r="J77" s="4"/>
      <c r="K77" s="4"/>
      <c r="L77" s="4"/>
      <c r="M77" s="4"/>
      <c r="N77" s="4"/>
      <c r="O77" s="4"/>
      <c r="P77" s="4"/>
      <c r="Q77" s="4"/>
      <c r="R77" s="4"/>
      <c r="S77" s="4"/>
      <c r="T77" s="4"/>
      <c r="U77" s="4"/>
    </row>
    <row r="78" spans="1:21">
      <c r="A78" s="4"/>
      <c r="B78" s="4"/>
      <c r="C78" s="4"/>
      <c r="D78" s="4"/>
      <c r="E78" s="4"/>
      <c r="F78" s="4"/>
      <c r="G78" s="4"/>
      <c r="H78" s="4"/>
      <c r="I78" s="4"/>
      <c r="J78" s="4"/>
      <c r="K78" s="4"/>
      <c r="L78" s="4"/>
      <c r="M78" s="4"/>
      <c r="N78" s="4"/>
      <c r="O78" s="4"/>
      <c r="P78" s="4"/>
      <c r="Q78" s="4"/>
      <c r="R78" s="4"/>
      <c r="S78" s="4"/>
      <c r="T78" s="4"/>
      <c r="U78" s="4"/>
    </row>
    <row r="79" spans="1:21">
      <c r="A79" s="4"/>
      <c r="B79" s="4"/>
      <c r="C79" s="4"/>
      <c r="D79" s="4"/>
      <c r="E79" s="4"/>
      <c r="F79" s="4"/>
      <c r="G79" s="4"/>
      <c r="H79" s="4"/>
      <c r="I79" s="4"/>
      <c r="J79" s="4"/>
      <c r="K79" s="4"/>
      <c r="L79" s="4"/>
      <c r="M79" s="4"/>
      <c r="N79" s="4"/>
      <c r="O79" s="4"/>
      <c r="P79" s="4"/>
      <c r="Q79" s="4"/>
      <c r="R79" s="4"/>
      <c r="S79" s="4"/>
      <c r="T79" s="4"/>
      <c r="U79" s="4"/>
    </row>
    <row r="80" spans="1:21">
      <c r="A80" s="4"/>
      <c r="B80" s="4"/>
      <c r="C80" s="4"/>
      <c r="D80" s="4"/>
      <c r="E80" s="4"/>
      <c r="F80" s="4"/>
      <c r="G80" s="4"/>
      <c r="H80" s="4"/>
      <c r="I80" s="4"/>
      <c r="J80" s="4"/>
      <c r="K80" s="4"/>
      <c r="L80" s="4"/>
      <c r="M80" s="4"/>
      <c r="N80" s="4"/>
      <c r="O80" s="4"/>
      <c r="P80" s="4"/>
      <c r="Q80" s="4"/>
      <c r="R80" s="4"/>
      <c r="S80" s="4"/>
      <c r="T80" s="4"/>
      <c r="U80" s="4"/>
    </row>
    <row r="81" spans="1:21">
      <c r="A81" s="4"/>
      <c r="B81" s="4"/>
      <c r="C81" s="4"/>
      <c r="D81" s="4"/>
      <c r="E81" s="4"/>
      <c r="F81" s="4"/>
      <c r="G81" s="4"/>
      <c r="H81" s="4"/>
      <c r="I81" s="4"/>
      <c r="J81" s="4"/>
      <c r="K81" s="4"/>
      <c r="L81" s="4"/>
      <c r="M81" s="4"/>
      <c r="N81" s="4"/>
      <c r="O81" s="4"/>
      <c r="P81" s="4"/>
      <c r="Q81" s="4"/>
      <c r="R81" s="4"/>
      <c r="S81" s="4"/>
      <c r="T81" s="4"/>
      <c r="U81" s="4"/>
    </row>
    <row r="82" spans="1:21">
      <c r="A82" s="4"/>
      <c r="B82" s="4"/>
      <c r="C82" s="4"/>
      <c r="D82" s="4"/>
      <c r="E82" s="4"/>
      <c r="F82" s="4"/>
      <c r="G82" s="4"/>
      <c r="H82" s="4"/>
      <c r="I82" s="4"/>
      <c r="J82" s="4"/>
      <c r="K82" s="4"/>
      <c r="L82" s="4"/>
      <c r="M82" s="4"/>
      <c r="N82" s="4"/>
      <c r="O82" s="4"/>
      <c r="P82" s="4"/>
      <c r="Q82" s="4"/>
      <c r="R82" s="4"/>
      <c r="S82" s="4"/>
      <c r="T82" s="4"/>
      <c r="U82" s="4"/>
    </row>
    <row r="83" spans="1:21">
      <c r="A83" s="4"/>
      <c r="B83" s="4"/>
      <c r="C83" s="4"/>
      <c r="D83" s="4"/>
      <c r="E83" s="4"/>
      <c r="F83" s="4"/>
      <c r="G83" s="4"/>
      <c r="H83" s="4"/>
      <c r="I83" s="4"/>
      <c r="J83" s="4"/>
      <c r="K83" s="4"/>
      <c r="L83" s="4"/>
      <c r="M83" s="4"/>
      <c r="N83" s="4"/>
      <c r="O83" s="4"/>
      <c r="P83" s="4"/>
      <c r="Q83" s="4"/>
      <c r="R83" s="4"/>
      <c r="S83" s="4"/>
      <c r="T83" s="4"/>
      <c r="U83" s="4"/>
    </row>
    <row r="84" spans="1:21">
      <c r="A84" s="4"/>
      <c r="B84" s="4"/>
      <c r="C84" s="4"/>
      <c r="D84" s="4"/>
      <c r="E84" s="4"/>
      <c r="F84" s="4"/>
      <c r="G84" s="4"/>
      <c r="H84" s="4"/>
      <c r="I84" s="4"/>
      <c r="J84" s="4"/>
      <c r="K84" s="4"/>
      <c r="L84" s="4"/>
      <c r="M84" s="4"/>
      <c r="N84" s="4"/>
      <c r="O84" s="4"/>
      <c r="P84" s="4"/>
      <c r="Q84" s="4"/>
      <c r="R84" s="4"/>
      <c r="S84" s="4"/>
      <c r="T84" s="4"/>
      <c r="U84" s="4"/>
    </row>
    <row r="85" spans="1:21">
      <c r="A85" s="4"/>
      <c r="B85" s="4"/>
      <c r="C85" s="4"/>
      <c r="D85" s="4"/>
      <c r="E85" s="4"/>
      <c r="F85" s="4"/>
      <c r="G85" s="4"/>
      <c r="H85" s="4"/>
      <c r="I85" s="4"/>
      <c r="J85" s="4"/>
      <c r="K85" s="4"/>
      <c r="L85" s="4"/>
      <c r="M85" s="4"/>
      <c r="N85" s="4"/>
      <c r="O85" s="4"/>
      <c r="P85" s="4"/>
      <c r="Q85" s="4"/>
      <c r="R85" s="4"/>
      <c r="S85" s="4"/>
      <c r="T85" s="4"/>
      <c r="U85" s="4"/>
    </row>
    <row r="86" spans="1:21">
      <c r="A86" s="4"/>
      <c r="B86" s="4"/>
      <c r="C86" s="4"/>
      <c r="D86" s="4"/>
      <c r="E86" s="4"/>
      <c r="F86" s="4"/>
      <c r="G86" s="4"/>
      <c r="H86" s="4"/>
      <c r="I86" s="4"/>
      <c r="J86" s="4"/>
      <c r="K86" s="4"/>
      <c r="L86" s="4"/>
      <c r="M86" s="4"/>
      <c r="N86" s="4"/>
      <c r="O86" s="4"/>
      <c r="P86" s="4"/>
      <c r="Q86" s="4"/>
      <c r="R86" s="4"/>
      <c r="S86" s="4"/>
      <c r="T86" s="4"/>
      <c r="U86" s="4"/>
    </row>
    <row r="87" spans="1:21">
      <c r="A87" s="4"/>
      <c r="B87" s="4"/>
      <c r="C87" s="4"/>
      <c r="D87" s="4"/>
      <c r="E87" s="4"/>
      <c r="F87" s="4"/>
      <c r="G87" s="4"/>
      <c r="H87" s="4"/>
      <c r="I87" s="4"/>
      <c r="J87" s="4"/>
      <c r="K87" s="4"/>
      <c r="L87" s="4"/>
      <c r="M87" s="4"/>
      <c r="N87" s="4"/>
      <c r="O87" s="4"/>
      <c r="P87" s="4"/>
      <c r="Q87" s="4"/>
      <c r="R87" s="4"/>
      <c r="S87" s="4"/>
      <c r="T87" s="4"/>
      <c r="U87" s="4"/>
    </row>
    <row r="88" spans="1:21">
      <c r="A88" s="4"/>
      <c r="B88" s="4"/>
      <c r="C88" s="4"/>
      <c r="D88" s="4"/>
      <c r="E88" s="4"/>
      <c r="F88" s="4"/>
      <c r="G88" s="4"/>
      <c r="H88" s="4"/>
      <c r="I88" s="4"/>
      <c r="J88" s="4"/>
      <c r="K88" s="4"/>
      <c r="L88" s="4"/>
      <c r="M88" s="4"/>
      <c r="N88" s="4"/>
      <c r="O88" s="4"/>
      <c r="P88" s="4"/>
      <c r="Q88" s="4"/>
      <c r="R88" s="4"/>
      <c r="S88" s="4"/>
      <c r="T88" s="4"/>
      <c r="U88" s="4"/>
    </row>
    <row r="89" spans="1:21">
      <c r="A89" s="4"/>
      <c r="B89" s="4"/>
      <c r="C89" s="4"/>
      <c r="D89" s="4"/>
      <c r="E89" s="4"/>
      <c r="F89" s="4"/>
      <c r="G89" s="4"/>
      <c r="H89" s="4"/>
      <c r="I89" s="4"/>
      <c r="J89" s="4"/>
      <c r="K89" s="4"/>
      <c r="L89" s="4"/>
      <c r="M89" s="4"/>
      <c r="N89" s="4"/>
      <c r="O89" s="4"/>
      <c r="P89" s="4"/>
      <c r="Q89" s="4"/>
      <c r="R89" s="4"/>
      <c r="S89" s="4"/>
      <c r="T89" s="4"/>
      <c r="U89" s="4"/>
    </row>
    <row r="90" spans="1:21">
      <c r="A90" s="4"/>
      <c r="B90" s="4"/>
      <c r="C90" s="4"/>
      <c r="D90" s="4"/>
      <c r="E90" s="4"/>
      <c r="F90" s="4"/>
      <c r="G90" s="4"/>
      <c r="H90" s="4"/>
      <c r="I90" s="4"/>
      <c r="J90" s="4"/>
      <c r="K90" s="4"/>
      <c r="L90" s="4"/>
      <c r="M90" s="4"/>
      <c r="N90" s="4"/>
      <c r="O90" s="4"/>
      <c r="P90" s="4"/>
      <c r="Q90" s="4"/>
      <c r="R90" s="4"/>
      <c r="S90" s="4"/>
      <c r="T90" s="4"/>
      <c r="U90" s="4"/>
    </row>
    <row r="91" spans="1:21">
      <c r="A91" s="4"/>
      <c r="B91" s="4"/>
      <c r="C91" s="4"/>
      <c r="D91" s="4"/>
      <c r="E91" s="4"/>
      <c r="F91" s="4"/>
      <c r="G91" s="4"/>
      <c r="H91" s="4"/>
      <c r="I91" s="4"/>
      <c r="J91" s="4"/>
      <c r="K91" s="4"/>
      <c r="L91" s="4"/>
      <c r="M91" s="4"/>
      <c r="N91" s="4"/>
      <c r="O91" s="4"/>
      <c r="P91" s="4"/>
      <c r="Q91" s="4"/>
      <c r="R91" s="4"/>
      <c r="S91" s="4"/>
      <c r="T91" s="4"/>
      <c r="U91" s="4"/>
    </row>
    <row r="92" spans="1:21">
      <c r="A92" s="4"/>
      <c r="B92" s="4"/>
      <c r="C92" s="4"/>
      <c r="D92" s="4"/>
      <c r="E92" s="4"/>
      <c r="F92" s="4"/>
      <c r="G92" s="4"/>
      <c r="H92" s="4"/>
      <c r="I92" s="4"/>
      <c r="J92" s="4"/>
      <c r="K92" s="4"/>
      <c r="L92" s="4"/>
      <c r="M92" s="4"/>
      <c r="N92" s="4"/>
      <c r="O92" s="4"/>
      <c r="P92" s="4"/>
      <c r="Q92" s="4"/>
      <c r="R92" s="4"/>
      <c r="S92" s="4"/>
      <c r="T92" s="4"/>
      <c r="U92" s="4"/>
    </row>
    <row r="93" spans="1:21">
      <c r="A93" s="4"/>
      <c r="B93" s="4"/>
      <c r="C93" s="4"/>
      <c r="D93" s="4"/>
      <c r="E93" s="4"/>
      <c r="F93" s="4"/>
      <c r="G93" s="4"/>
      <c r="H93" s="4"/>
      <c r="I93" s="4"/>
      <c r="J93" s="4"/>
      <c r="K93" s="4"/>
      <c r="L93" s="4"/>
      <c r="M93" s="4"/>
      <c r="N93" s="4"/>
      <c r="O93" s="4"/>
      <c r="P93" s="4"/>
      <c r="Q93" s="4"/>
      <c r="R93" s="4"/>
      <c r="S93" s="4"/>
      <c r="T93" s="4"/>
      <c r="U93" s="4"/>
    </row>
    <row r="94" spans="1:21">
      <c r="A94" s="4"/>
      <c r="B94" s="4"/>
      <c r="C94" s="4"/>
      <c r="D94" s="4"/>
      <c r="E94" s="4"/>
      <c r="F94" s="4"/>
      <c r="G94" s="4"/>
      <c r="H94" s="4"/>
      <c r="I94" s="4"/>
      <c r="J94" s="4"/>
      <c r="K94" s="4"/>
      <c r="L94" s="4"/>
      <c r="M94" s="4"/>
      <c r="N94" s="4"/>
      <c r="O94" s="4"/>
      <c r="P94" s="4"/>
      <c r="Q94" s="4"/>
      <c r="R94" s="4"/>
      <c r="S94" s="4"/>
      <c r="T94" s="4"/>
      <c r="U94" s="4"/>
    </row>
    <row r="95" spans="1:21">
      <c r="A95" s="4"/>
      <c r="B95" s="4"/>
      <c r="C95" s="4"/>
      <c r="D95" s="4"/>
      <c r="E95" s="4"/>
      <c r="F95" s="4"/>
      <c r="G95" s="4"/>
      <c r="H95" s="4"/>
      <c r="I95" s="4"/>
      <c r="J95" s="4"/>
      <c r="K95" s="4"/>
      <c r="L95" s="4"/>
      <c r="M95" s="4"/>
      <c r="N95" s="4"/>
      <c r="O95" s="4"/>
      <c r="P95" s="4"/>
      <c r="Q95" s="4"/>
      <c r="R95" s="4"/>
      <c r="S95" s="4"/>
      <c r="T95" s="4"/>
      <c r="U95" s="4"/>
    </row>
    <row r="96" spans="1:21">
      <c r="A96" s="4"/>
      <c r="B96" s="4"/>
      <c r="C96" s="4"/>
      <c r="D96" s="4"/>
      <c r="E96" s="4"/>
      <c r="F96" s="4"/>
      <c r="G96" s="4"/>
      <c r="H96" s="4"/>
      <c r="I96" s="4"/>
      <c r="J96" s="4"/>
      <c r="K96" s="4"/>
      <c r="L96" s="4"/>
      <c r="M96" s="4"/>
      <c r="N96" s="4"/>
      <c r="O96" s="4"/>
      <c r="P96" s="4"/>
      <c r="Q96" s="4"/>
      <c r="R96" s="4"/>
      <c r="S96" s="4"/>
      <c r="T96" s="4"/>
      <c r="U96" s="4"/>
    </row>
    <row r="97" spans="1:21">
      <c r="A97" s="4"/>
      <c r="B97" s="4"/>
      <c r="C97" s="4"/>
      <c r="D97" s="4"/>
      <c r="E97" s="4"/>
      <c r="F97" s="4"/>
      <c r="G97" s="4"/>
      <c r="H97" s="4"/>
      <c r="I97" s="4"/>
      <c r="J97" s="4"/>
      <c r="K97" s="4"/>
      <c r="L97" s="4"/>
      <c r="M97" s="4"/>
      <c r="N97" s="4"/>
      <c r="O97" s="4"/>
      <c r="P97" s="4"/>
      <c r="Q97" s="4"/>
      <c r="R97" s="4"/>
      <c r="S97" s="4"/>
      <c r="T97" s="4"/>
      <c r="U97" s="4"/>
    </row>
    <row r="98" spans="1:21">
      <c r="A98" s="4"/>
      <c r="B98" s="4"/>
      <c r="C98" s="4"/>
      <c r="D98" s="4"/>
      <c r="E98" s="4"/>
      <c r="F98" s="4"/>
      <c r="G98" s="4"/>
      <c r="H98" s="4"/>
      <c r="I98" s="4"/>
      <c r="J98" s="4"/>
      <c r="K98" s="4"/>
      <c r="L98" s="4"/>
      <c r="M98" s="4"/>
      <c r="N98" s="4"/>
      <c r="O98" s="4"/>
      <c r="P98" s="4"/>
      <c r="Q98" s="4"/>
      <c r="R98" s="4"/>
      <c r="S98" s="4"/>
      <c r="T98" s="4"/>
      <c r="U98" s="4"/>
    </row>
  </sheetData>
  <conditionalFormatting sqref="T13 T7 T19 T26 T32">
    <cfRule type="dataBar" priority="1">
      <dataBar showValue="0">
        <cfvo type="min"/>
        <cfvo type="max"/>
        <color rgb="FF450BE9"/>
      </dataBar>
      <extLst>
        <ext xmlns:x14="http://schemas.microsoft.com/office/spreadsheetml/2009/9/main" uri="{B025F937-C7B1-47D3-B67F-A62EFF666E3E}">
          <x14:id>{DDD5ED0B-83B8-4C60-9215-D7546B58597A}</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DDD5ED0B-83B8-4C60-9215-D7546B58597A}">
            <x14:dataBar minLength="0" maxLength="100">
              <x14:cfvo type="autoMin"/>
              <x14:cfvo type="autoMax"/>
              <x14:negativeFillColor rgb="FFFF0000"/>
              <x14:axisColor rgb="FF000000"/>
            </x14:dataBar>
          </x14:cfRule>
          <xm:sqref>T13 T7 T19 T26 T32</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Synthetic Data</vt:lpstr>
      <vt:lpstr>pivots</vt:lpstr>
      <vt:lpstr>Income sources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2025-08-04T06:34:25Z</dcterms:created>
  <dcterms:modified xsi:type="dcterms:W3CDTF">2025-11-24T12:41:04Z</dcterms:modified>
</cp:coreProperties>
</file>